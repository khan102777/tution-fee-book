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Fee Register 2024-'25\"/>
    </mc:Choice>
  </mc:AlternateContent>
  <xr:revisionPtr revIDLastSave="0" documentId="13_ncr:1_{BFF384E5-0375-4E89-84E3-04101DC5D6C9}" xr6:coauthVersionLast="47" xr6:coauthVersionMax="47" xr10:uidLastSave="{00000000-0000-0000-0000-000000000000}"/>
  <bookViews>
    <workbookView xWindow="-120" yWindow="-120" windowWidth="15600" windowHeight="11160" tabRatio="833" xr2:uid="{00000000-000D-0000-FFFF-FFFF00000000}"/>
  </bookViews>
  <sheets>
    <sheet name="ADMISSION" sheetId="1" r:id="rId1"/>
    <sheet name="FEE ENTRY" sheetId="2" r:id="rId2"/>
    <sheet name="INVOICE" sheetId="3" r:id="rId3"/>
    <sheet name="All" sheetId="8" r:id="rId4"/>
    <sheet name="TOTAL S&amp;FEE " sheetId="11" r:id="rId5"/>
    <sheet name="Class Wise" sheetId="7" r:id="rId6"/>
    <sheet name="%" sheetId="10" r:id="rId7"/>
    <sheet name="Student's Detail" sheetId="9" state="hidden" r:id="rId8"/>
    <sheet name="Expenses" sheetId="12" r:id="rId9"/>
    <sheet name="Massage" sheetId="14" r:id="rId10"/>
  </sheets>
  <definedNames>
    <definedName name="_10th">ADMISSION!$Z$3:$Z$1048576</definedName>
    <definedName name="_11th">ADMISSION!$AA$3:$AA$1048576</definedName>
    <definedName name="_12th">ADMISSION!$AB$3:$AB$1048576</definedName>
    <definedName name="_1st">ADMISSION!$Q$3:$Q$1048576</definedName>
    <definedName name="_2nd">ADMISSION!$R$3:$R$1048576</definedName>
    <definedName name="_3rd">ADMISSION!$S$15:$S$1048576</definedName>
    <definedName name="_4th">ADMISSION!$T$15:$T$1048576</definedName>
    <definedName name="_5th">ADMISSION!$U$15:$U$1048576</definedName>
    <definedName name="_6th">ADMISSION!$V$15:$V$1048576</definedName>
    <definedName name="_7th">ADMISSION!$W$3:$W$1048576</definedName>
    <definedName name="_8th">ADMISSION!$X$3:$X$1048576</definedName>
    <definedName name="_9th">ADMISSION!$Y$3:$Y$1048576</definedName>
    <definedName name="_xlnm._FilterDatabase" localSheetId="0" hidden="1">ADMISSION!$A$1:$O$88</definedName>
    <definedName name="_xlnm._FilterDatabase" localSheetId="1" hidden="1">'FEE ENTRY'!$A$2:$K$202</definedName>
    <definedName name="_xlnm._FilterDatabase" localSheetId="9" hidden="1">Massage!$A$1:$J$88</definedName>
    <definedName name="kg">ADMISSION!$P$3:$P$1048576</definedName>
    <definedName name="_xlnm.Print_Area" localSheetId="2">INVOICE!$A$1:$K$17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4" l="1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2" i="14"/>
  <c r="P2" i="1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3" i="2"/>
  <c r="A1" i="14"/>
  <c r="B1" i="14"/>
  <c r="C1" i="14"/>
  <c r="D1" i="14"/>
  <c r="E1" i="14"/>
  <c r="F1" i="14"/>
  <c r="G1" i="14"/>
  <c r="H1" i="14"/>
  <c r="A2" i="14"/>
  <c r="B2" i="14"/>
  <c r="C2" i="14"/>
  <c r="D2" i="14"/>
  <c r="E2" i="14"/>
  <c r="F2" i="14"/>
  <c r="A3" i="14"/>
  <c r="B3" i="14"/>
  <c r="C3" i="14"/>
  <c r="D3" i="14"/>
  <c r="E3" i="14"/>
  <c r="F3" i="14"/>
  <c r="A4" i="14"/>
  <c r="B4" i="14"/>
  <c r="C4" i="14"/>
  <c r="D4" i="14"/>
  <c r="E4" i="14"/>
  <c r="F4" i="14"/>
  <c r="A5" i="14"/>
  <c r="B5" i="14"/>
  <c r="C5" i="14"/>
  <c r="D5" i="14"/>
  <c r="E5" i="14"/>
  <c r="F5" i="14"/>
  <c r="A6" i="14"/>
  <c r="B6" i="14"/>
  <c r="C6" i="14"/>
  <c r="D6" i="14"/>
  <c r="E6" i="14"/>
  <c r="F6" i="14"/>
  <c r="A7" i="14"/>
  <c r="B7" i="14"/>
  <c r="C7" i="14"/>
  <c r="D7" i="14"/>
  <c r="E7" i="14"/>
  <c r="F7" i="14"/>
  <c r="A8" i="14"/>
  <c r="B8" i="14"/>
  <c r="C8" i="14"/>
  <c r="D8" i="14"/>
  <c r="E8" i="14"/>
  <c r="F8" i="14"/>
  <c r="A9" i="14"/>
  <c r="B9" i="14"/>
  <c r="C9" i="14"/>
  <c r="D9" i="14"/>
  <c r="E9" i="14"/>
  <c r="F9" i="14"/>
  <c r="A10" i="14"/>
  <c r="B10" i="14"/>
  <c r="C10" i="14"/>
  <c r="D10" i="14"/>
  <c r="E10" i="14"/>
  <c r="F10" i="14"/>
  <c r="A11" i="14"/>
  <c r="B11" i="14"/>
  <c r="C11" i="14"/>
  <c r="D11" i="14"/>
  <c r="E11" i="14"/>
  <c r="F11" i="14"/>
  <c r="A12" i="14"/>
  <c r="B12" i="14"/>
  <c r="C12" i="14"/>
  <c r="D12" i="14"/>
  <c r="E12" i="14"/>
  <c r="F12" i="14"/>
  <c r="A13" i="14"/>
  <c r="B13" i="14"/>
  <c r="C13" i="14"/>
  <c r="D13" i="14"/>
  <c r="E13" i="14"/>
  <c r="F13" i="14"/>
  <c r="A14" i="14"/>
  <c r="B14" i="14"/>
  <c r="C14" i="14"/>
  <c r="D14" i="14"/>
  <c r="E14" i="14"/>
  <c r="F14" i="14"/>
  <c r="A15" i="14"/>
  <c r="B15" i="14"/>
  <c r="C15" i="14"/>
  <c r="D15" i="14"/>
  <c r="E15" i="14"/>
  <c r="F15" i="14"/>
  <c r="A16" i="14"/>
  <c r="B16" i="14"/>
  <c r="C16" i="14"/>
  <c r="D16" i="14"/>
  <c r="E16" i="14"/>
  <c r="F16" i="14"/>
  <c r="A17" i="14"/>
  <c r="B17" i="14"/>
  <c r="C17" i="14"/>
  <c r="D17" i="14"/>
  <c r="E17" i="14"/>
  <c r="F17" i="14"/>
  <c r="A18" i="14"/>
  <c r="B18" i="14"/>
  <c r="C18" i="14"/>
  <c r="D18" i="14"/>
  <c r="E18" i="14"/>
  <c r="F18" i="14"/>
  <c r="A19" i="14"/>
  <c r="B19" i="14"/>
  <c r="C19" i="14"/>
  <c r="D19" i="14"/>
  <c r="E19" i="14"/>
  <c r="F19" i="14"/>
  <c r="A20" i="14"/>
  <c r="B20" i="14"/>
  <c r="C20" i="14"/>
  <c r="D20" i="14"/>
  <c r="E20" i="14"/>
  <c r="F20" i="14"/>
  <c r="A21" i="14"/>
  <c r="B21" i="14"/>
  <c r="C21" i="14"/>
  <c r="D21" i="14"/>
  <c r="E21" i="14"/>
  <c r="F21" i="14"/>
  <c r="A22" i="14"/>
  <c r="B22" i="14"/>
  <c r="C22" i="14"/>
  <c r="D22" i="14"/>
  <c r="E22" i="14"/>
  <c r="F22" i="14"/>
  <c r="A23" i="14"/>
  <c r="B23" i="14"/>
  <c r="C23" i="14"/>
  <c r="D23" i="14"/>
  <c r="E23" i="14"/>
  <c r="F23" i="14"/>
  <c r="A24" i="14"/>
  <c r="B24" i="14"/>
  <c r="C24" i="14"/>
  <c r="D24" i="14"/>
  <c r="E24" i="14"/>
  <c r="F24" i="14"/>
  <c r="A25" i="14"/>
  <c r="B25" i="14"/>
  <c r="C25" i="14"/>
  <c r="D25" i="14"/>
  <c r="E25" i="14"/>
  <c r="F25" i="14"/>
  <c r="A26" i="14"/>
  <c r="B26" i="14"/>
  <c r="C26" i="14"/>
  <c r="D26" i="14"/>
  <c r="E26" i="14"/>
  <c r="F26" i="14"/>
  <c r="A27" i="14"/>
  <c r="B27" i="14"/>
  <c r="C27" i="14"/>
  <c r="D27" i="14"/>
  <c r="E27" i="14"/>
  <c r="F27" i="14"/>
  <c r="A28" i="14"/>
  <c r="B28" i="14"/>
  <c r="C28" i="14"/>
  <c r="D28" i="14"/>
  <c r="E28" i="14"/>
  <c r="F28" i="14"/>
  <c r="A29" i="14"/>
  <c r="B29" i="14"/>
  <c r="C29" i="14"/>
  <c r="D29" i="14"/>
  <c r="E29" i="14"/>
  <c r="F29" i="14"/>
  <c r="A30" i="14"/>
  <c r="B30" i="14"/>
  <c r="C30" i="14"/>
  <c r="D30" i="14"/>
  <c r="E30" i="14"/>
  <c r="F30" i="14"/>
  <c r="A31" i="14"/>
  <c r="B31" i="14"/>
  <c r="C31" i="14"/>
  <c r="D31" i="14"/>
  <c r="E31" i="14"/>
  <c r="F31" i="14"/>
  <c r="A32" i="14"/>
  <c r="B32" i="14"/>
  <c r="C32" i="14"/>
  <c r="D32" i="14"/>
  <c r="E32" i="14"/>
  <c r="F32" i="14"/>
  <c r="A33" i="14"/>
  <c r="B33" i="14"/>
  <c r="C33" i="14"/>
  <c r="D33" i="14"/>
  <c r="E33" i="14"/>
  <c r="F33" i="14"/>
  <c r="A34" i="14"/>
  <c r="B34" i="14"/>
  <c r="C34" i="14"/>
  <c r="D34" i="14"/>
  <c r="E34" i="14"/>
  <c r="F34" i="14"/>
  <c r="A35" i="14"/>
  <c r="B35" i="14"/>
  <c r="C35" i="14"/>
  <c r="D35" i="14"/>
  <c r="E35" i="14"/>
  <c r="F35" i="14"/>
  <c r="A36" i="14"/>
  <c r="B36" i="14"/>
  <c r="C36" i="14"/>
  <c r="D36" i="14"/>
  <c r="E36" i="14"/>
  <c r="F36" i="14"/>
  <c r="A37" i="14"/>
  <c r="B37" i="14"/>
  <c r="C37" i="14"/>
  <c r="D37" i="14"/>
  <c r="E37" i="14"/>
  <c r="F37" i="14"/>
  <c r="A38" i="14"/>
  <c r="B38" i="14"/>
  <c r="C38" i="14"/>
  <c r="D38" i="14"/>
  <c r="E38" i="14"/>
  <c r="F38" i="14"/>
  <c r="A39" i="14"/>
  <c r="B39" i="14"/>
  <c r="C39" i="14"/>
  <c r="D39" i="14"/>
  <c r="E39" i="14"/>
  <c r="F39" i="14"/>
  <c r="A40" i="14"/>
  <c r="B40" i="14"/>
  <c r="C40" i="14"/>
  <c r="D40" i="14"/>
  <c r="E40" i="14"/>
  <c r="F40" i="14"/>
  <c r="A41" i="14"/>
  <c r="B41" i="14"/>
  <c r="C41" i="14"/>
  <c r="D41" i="14"/>
  <c r="E41" i="14"/>
  <c r="F41" i="14"/>
  <c r="A42" i="14"/>
  <c r="B42" i="14"/>
  <c r="C42" i="14"/>
  <c r="D42" i="14"/>
  <c r="E42" i="14"/>
  <c r="F42" i="14"/>
  <c r="A43" i="14"/>
  <c r="B43" i="14"/>
  <c r="C43" i="14"/>
  <c r="D43" i="14"/>
  <c r="E43" i="14"/>
  <c r="F43" i="14"/>
  <c r="A44" i="14"/>
  <c r="B44" i="14"/>
  <c r="C44" i="14"/>
  <c r="D44" i="14"/>
  <c r="E44" i="14"/>
  <c r="F44" i="14"/>
  <c r="A45" i="14"/>
  <c r="B45" i="14"/>
  <c r="C45" i="14"/>
  <c r="D45" i="14"/>
  <c r="E45" i="14"/>
  <c r="F45" i="14"/>
  <c r="A46" i="14"/>
  <c r="B46" i="14"/>
  <c r="D46" i="14"/>
  <c r="E46" i="14"/>
  <c r="F46" i="14"/>
  <c r="A47" i="14"/>
  <c r="B47" i="14"/>
  <c r="C47" i="14"/>
  <c r="D47" i="14"/>
  <c r="E47" i="14"/>
  <c r="F47" i="14"/>
  <c r="A48" i="14"/>
  <c r="B48" i="14"/>
  <c r="C48" i="14"/>
  <c r="D48" i="14"/>
  <c r="E48" i="14"/>
  <c r="F48" i="14"/>
  <c r="A49" i="14"/>
  <c r="B49" i="14"/>
  <c r="C49" i="14"/>
  <c r="D49" i="14"/>
  <c r="E49" i="14"/>
  <c r="F49" i="14"/>
  <c r="A50" i="14"/>
  <c r="B50" i="14"/>
  <c r="C50" i="14"/>
  <c r="D50" i="14"/>
  <c r="E50" i="14"/>
  <c r="F50" i="14"/>
  <c r="A51" i="14"/>
  <c r="B51" i="14"/>
  <c r="C51" i="14"/>
  <c r="D51" i="14"/>
  <c r="E51" i="14"/>
  <c r="F51" i="14"/>
  <c r="A52" i="14"/>
  <c r="B52" i="14"/>
  <c r="C52" i="14"/>
  <c r="D52" i="14"/>
  <c r="E52" i="14"/>
  <c r="F52" i="14"/>
  <c r="A53" i="14"/>
  <c r="B53" i="14"/>
  <c r="C53" i="14"/>
  <c r="D53" i="14"/>
  <c r="E53" i="14"/>
  <c r="F53" i="14"/>
  <c r="A54" i="14"/>
  <c r="B54" i="14"/>
  <c r="C54" i="14"/>
  <c r="D54" i="14"/>
  <c r="E54" i="14"/>
  <c r="F54" i="14"/>
  <c r="A55" i="14"/>
  <c r="B55" i="14"/>
  <c r="C55" i="14"/>
  <c r="D55" i="14"/>
  <c r="E55" i="14"/>
  <c r="F55" i="14"/>
  <c r="A56" i="14"/>
  <c r="B56" i="14"/>
  <c r="C56" i="14"/>
  <c r="D56" i="14"/>
  <c r="E56" i="14"/>
  <c r="F56" i="14"/>
  <c r="A57" i="14"/>
  <c r="B57" i="14"/>
  <c r="C57" i="14"/>
  <c r="D57" i="14"/>
  <c r="E57" i="14"/>
  <c r="F57" i="14"/>
  <c r="A58" i="14"/>
  <c r="B58" i="14"/>
  <c r="C58" i="14"/>
  <c r="D58" i="14"/>
  <c r="E58" i="14"/>
  <c r="F58" i="14"/>
  <c r="A59" i="14"/>
  <c r="B59" i="14"/>
  <c r="C59" i="14"/>
  <c r="D59" i="14"/>
  <c r="E59" i="14"/>
  <c r="F59" i="14"/>
  <c r="A60" i="14"/>
  <c r="B60" i="14"/>
  <c r="C60" i="14"/>
  <c r="D60" i="14"/>
  <c r="E60" i="14"/>
  <c r="F60" i="14"/>
  <c r="A61" i="14"/>
  <c r="B61" i="14"/>
  <c r="C61" i="14"/>
  <c r="D61" i="14"/>
  <c r="E61" i="14"/>
  <c r="F61" i="14"/>
  <c r="A62" i="14"/>
  <c r="B62" i="14"/>
  <c r="C62" i="14"/>
  <c r="D62" i="14"/>
  <c r="E62" i="14"/>
  <c r="F62" i="14"/>
  <c r="A63" i="14"/>
  <c r="B63" i="14"/>
  <c r="C63" i="14"/>
  <c r="D63" i="14"/>
  <c r="E63" i="14"/>
  <c r="F63" i="14"/>
  <c r="A64" i="14"/>
  <c r="B64" i="14"/>
  <c r="C64" i="14"/>
  <c r="D64" i="14"/>
  <c r="E64" i="14"/>
  <c r="F64" i="14"/>
  <c r="A65" i="14"/>
  <c r="B65" i="14"/>
  <c r="C65" i="14"/>
  <c r="A66" i="14"/>
  <c r="B66" i="14"/>
  <c r="C66" i="14"/>
  <c r="D66" i="14"/>
  <c r="E66" i="14"/>
  <c r="F66" i="14"/>
  <c r="A67" i="14"/>
  <c r="B67" i="14"/>
  <c r="C67" i="14"/>
  <c r="D67" i="14"/>
  <c r="E67" i="14"/>
  <c r="F67" i="14"/>
  <c r="A68" i="14"/>
  <c r="B68" i="14"/>
  <c r="C68" i="14"/>
  <c r="D68" i="14"/>
  <c r="E68" i="14"/>
  <c r="F68" i="14"/>
  <c r="A69" i="14"/>
  <c r="B69" i="14"/>
  <c r="C69" i="14"/>
  <c r="D69" i="14"/>
  <c r="E69" i="14"/>
  <c r="F69" i="14"/>
  <c r="A70" i="14"/>
  <c r="B70" i="14"/>
  <c r="C70" i="14"/>
  <c r="D70" i="14"/>
  <c r="E70" i="14"/>
  <c r="F70" i="14"/>
  <c r="A71" i="14"/>
  <c r="B71" i="14"/>
  <c r="C71" i="14"/>
  <c r="D71" i="14"/>
  <c r="E71" i="14"/>
  <c r="F71" i="14"/>
  <c r="A72" i="14"/>
  <c r="B72" i="14"/>
  <c r="C72" i="14"/>
  <c r="D72" i="14"/>
  <c r="E72" i="14"/>
  <c r="F72" i="14"/>
  <c r="A73" i="14"/>
  <c r="B73" i="14"/>
  <c r="C73" i="14"/>
  <c r="D73" i="14"/>
  <c r="E73" i="14"/>
  <c r="F73" i="14"/>
  <c r="A74" i="14"/>
  <c r="B74" i="14"/>
  <c r="C74" i="14"/>
  <c r="D74" i="14"/>
  <c r="E74" i="14"/>
  <c r="F74" i="14"/>
  <c r="A75" i="14"/>
  <c r="B75" i="14"/>
  <c r="C75" i="14"/>
  <c r="D75" i="14"/>
  <c r="E75" i="14"/>
  <c r="F75" i="14"/>
  <c r="A76" i="14"/>
  <c r="B76" i="14"/>
  <c r="C76" i="14"/>
  <c r="D76" i="14"/>
  <c r="E76" i="14"/>
  <c r="F76" i="14"/>
  <c r="A77" i="14"/>
  <c r="B77" i="14"/>
  <c r="C77" i="14"/>
  <c r="D77" i="14"/>
  <c r="E77" i="14"/>
  <c r="F77" i="14"/>
  <c r="A78" i="14"/>
  <c r="B78" i="14"/>
  <c r="C78" i="14"/>
  <c r="D78" i="14"/>
  <c r="E78" i="14"/>
  <c r="F78" i="14"/>
  <c r="A79" i="14"/>
  <c r="B79" i="14"/>
  <c r="C79" i="14"/>
  <c r="D79" i="14"/>
  <c r="E79" i="14"/>
  <c r="F79" i="14"/>
  <c r="A80" i="14"/>
  <c r="B80" i="14"/>
  <c r="C80" i="14"/>
  <c r="D80" i="14"/>
  <c r="E80" i="14"/>
  <c r="F80" i="14"/>
  <c r="A81" i="14"/>
  <c r="B81" i="14"/>
  <c r="C81" i="14"/>
  <c r="D81" i="14"/>
  <c r="E81" i="14"/>
  <c r="F81" i="14"/>
  <c r="A82" i="14"/>
  <c r="B82" i="14"/>
  <c r="C82" i="14"/>
  <c r="D82" i="14"/>
  <c r="E82" i="14"/>
  <c r="F82" i="14"/>
  <c r="A83" i="14"/>
  <c r="B83" i="14"/>
  <c r="C83" i="14"/>
  <c r="D83" i="14"/>
  <c r="E83" i="14"/>
  <c r="F83" i="14"/>
  <c r="A84" i="14"/>
  <c r="B84" i="14"/>
  <c r="C84" i="14"/>
  <c r="D84" i="14"/>
  <c r="E84" i="14"/>
  <c r="F84" i="14"/>
  <c r="A85" i="14"/>
  <c r="B85" i="14"/>
  <c r="C85" i="14"/>
  <c r="D85" i="14"/>
  <c r="E85" i="14"/>
  <c r="F85" i="14"/>
  <c r="A86" i="14"/>
  <c r="B86" i="14"/>
  <c r="C86" i="14"/>
  <c r="D86" i="14"/>
  <c r="E86" i="14"/>
  <c r="F86" i="14"/>
  <c r="A87" i="14"/>
  <c r="B87" i="14"/>
  <c r="C87" i="14"/>
  <c r="D87" i="14"/>
  <c r="E87" i="14"/>
  <c r="F87" i="14"/>
  <c r="A88" i="14"/>
  <c r="B88" i="14"/>
  <c r="C88" i="14"/>
  <c r="D88" i="14"/>
  <c r="E88" i="14"/>
  <c r="F88" i="14"/>
  <c r="E3" i="2"/>
  <c r="F3" i="2"/>
  <c r="K3" i="2"/>
  <c r="M3" i="2"/>
  <c r="E24" i="3"/>
  <c r="D24" i="3" a="1"/>
  <c r="D24" i="3" s="1"/>
  <c r="B102" i="12"/>
  <c r="E1" i="12" s="1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4" i="12"/>
  <c r="M4" i="2"/>
  <c r="E3" i="12"/>
  <c r="F24" i="3" a="1"/>
  <c r="G3" i="2" l="1"/>
  <c r="J3" i="2" s="1"/>
  <c r="F24" i="3"/>
  <c r="K39" i="1"/>
  <c r="A2" i="1" a="1"/>
  <c r="M5" i="2"/>
  <c r="M6" i="2" s="1"/>
  <c r="M7" i="2" s="1"/>
  <c r="M8" i="2" s="1"/>
  <c r="M9" i="2" s="1"/>
  <c r="M10" i="2" s="1"/>
  <c r="M11" i="2" s="1"/>
  <c r="M12" i="2" s="1"/>
  <c r="M13" i="2"/>
  <c r="M14" i="2" s="1"/>
  <c r="M15" i="2" s="1"/>
  <c r="M16" i="2" s="1"/>
  <c r="M17" i="2" s="1"/>
  <c r="M18" i="2" s="1"/>
  <c r="M19" i="2" s="1"/>
  <c r="M20" i="2" s="1"/>
  <c r="M21" i="2" s="1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C4" i="2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E13" i="2" s="1"/>
  <c r="J21" i="1"/>
  <c r="J22" i="1"/>
  <c r="J23" i="1"/>
  <c r="J24" i="1"/>
  <c r="J25" i="1"/>
  <c r="J26" i="1"/>
  <c r="J27" i="1"/>
  <c r="J28" i="1"/>
  <c r="J29" i="1"/>
  <c r="J30" i="1"/>
  <c r="J31" i="1"/>
  <c r="J32" i="1"/>
  <c r="E17" i="2" s="1"/>
  <c r="J33" i="1"/>
  <c r="J34" i="1"/>
  <c r="J35" i="1"/>
  <c r="J36" i="1"/>
  <c r="J37" i="1"/>
  <c r="J38" i="1"/>
  <c r="J39" i="1"/>
  <c r="J40" i="1"/>
  <c r="J41" i="1"/>
  <c r="J42" i="1"/>
  <c r="E4" i="2" s="1"/>
  <c r="J43" i="1"/>
  <c r="J44" i="1"/>
  <c r="J45" i="1"/>
  <c r="J46" i="1"/>
  <c r="J47" i="1"/>
  <c r="J48" i="1"/>
  <c r="J49" i="1"/>
  <c r="J50" i="1"/>
  <c r="E19" i="2" s="1"/>
  <c r="J51" i="1"/>
  <c r="J52" i="1"/>
  <c r="E14" i="2" s="1"/>
  <c r="J53" i="1"/>
  <c r="J54" i="1"/>
  <c r="E20" i="2" s="1"/>
  <c r="J55" i="1"/>
  <c r="J56" i="1"/>
  <c r="E22" i="2" s="1"/>
  <c r="J57" i="1"/>
  <c r="J58" i="1"/>
  <c r="J59" i="1"/>
  <c r="J60" i="1"/>
  <c r="J61" i="1"/>
  <c r="J62" i="1"/>
  <c r="J63" i="1"/>
  <c r="J64" i="1"/>
  <c r="J65" i="1"/>
  <c r="D65" i="14" s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D4" i="11"/>
  <c r="D5" i="11"/>
  <c r="D6" i="11"/>
  <c r="D7" i="11"/>
  <c r="D8" i="11"/>
  <c r="D9" i="11"/>
  <c r="D10" i="11"/>
  <c r="D11" i="11"/>
  <c r="D12" i="11"/>
  <c r="D13" i="11"/>
  <c r="D14" i="11"/>
  <c r="D15" i="11"/>
  <c r="D3" i="11"/>
  <c r="C3" i="11"/>
  <c r="C4" i="11"/>
  <c r="E4" i="11" s="1"/>
  <c r="C5" i="11"/>
  <c r="C6" i="11"/>
  <c r="E6" i="11" s="1"/>
  <c r="C7" i="11"/>
  <c r="E7" i="11" s="1"/>
  <c r="C8" i="11"/>
  <c r="E8" i="11" s="1"/>
  <c r="C9" i="11"/>
  <c r="E9" i="11" s="1"/>
  <c r="C10" i="11"/>
  <c r="E10" i="11" s="1"/>
  <c r="C11" i="11"/>
  <c r="E11" i="11" s="1"/>
  <c r="C12" i="11"/>
  <c r="E12" i="11" s="1"/>
  <c r="C13" i="11"/>
  <c r="E13" i="11" s="1"/>
  <c r="C14" i="11"/>
  <c r="E14" i="11" s="1"/>
  <c r="C15" i="11"/>
  <c r="E15" i="11" s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K2" i="1"/>
  <c r="M2" i="1"/>
  <c r="G2" i="14" s="1"/>
  <c r="I203" i="2"/>
  <c r="M1" i="2" s="1"/>
  <c r="K4" i="1"/>
  <c r="F16" i="2" s="1"/>
  <c r="M4" i="1"/>
  <c r="G4" i="14" s="1"/>
  <c r="K18" i="1"/>
  <c r="F12" i="2" s="1"/>
  <c r="M18" i="1"/>
  <c r="G18" i="14" s="1"/>
  <c r="I41" i="10"/>
  <c r="V16" i="10"/>
  <c r="S16" i="10"/>
  <c r="P16" i="10"/>
  <c r="I13" i="3"/>
  <c r="A2" i="9" a="1"/>
  <c r="A2" i="9" s="1"/>
  <c r="B2" i="9" a="1"/>
  <c r="B2" i="9" s="1"/>
  <c r="D2" i="9" a="1"/>
  <c r="D2" i="9" s="1"/>
  <c r="E2" i="9" a="1"/>
  <c r="E2" i="9" s="1"/>
  <c r="F2" i="9" a="1"/>
  <c r="F2" i="9" s="1"/>
  <c r="G2" i="9" a="1"/>
  <c r="G2" i="9" s="1"/>
  <c r="H2" i="9" a="1"/>
  <c r="H2" i="9" s="1"/>
  <c r="I2" i="9" a="1"/>
  <c r="I2" i="9" s="1"/>
  <c r="J2" i="9" a="1"/>
  <c r="J2" i="9" s="1"/>
  <c r="K2" i="9" a="1"/>
  <c r="K2" i="9" s="1"/>
  <c r="L2" i="9" a="1"/>
  <c r="L2" i="9" s="1"/>
  <c r="M2" i="9" a="1"/>
  <c r="M2" i="9" s="1"/>
  <c r="C2" i="9" a="1"/>
  <c r="C2" i="9" s="1"/>
  <c r="K41" i="1"/>
  <c r="F6" i="2" s="1"/>
  <c r="K40" i="1"/>
  <c r="K3" i="1"/>
  <c r="K5" i="1"/>
  <c r="K6" i="1"/>
  <c r="F18" i="2" s="1"/>
  <c r="K7" i="1"/>
  <c r="F11" i="2" s="1"/>
  <c r="K8" i="1"/>
  <c r="K9" i="1"/>
  <c r="K10" i="1"/>
  <c r="K11" i="1"/>
  <c r="K12" i="1"/>
  <c r="K13" i="1"/>
  <c r="F9" i="2" s="1"/>
  <c r="K14" i="1"/>
  <c r="K15" i="1"/>
  <c r="K16" i="1"/>
  <c r="K17" i="1"/>
  <c r="K19" i="1"/>
  <c r="K20" i="1"/>
  <c r="F13" i="2" s="1"/>
  <c r="K21" i="1"/>
  <c r="K22" i="1"/>
  <c r="K23" i="1"/>
  <c r="K24" i="1"/>
  <c r="K25" i="1"/>
  <c r="K26" i="1"/>
  <c r="F31" i="2" s="1"/>
  <c r="K27" i="1"/>
  <c r="K28" i="1"/>
  <c r="K29" i="1"/>
  <c r="K30" i="1"/>
  <c r="K31" i="1"/>
  <c r="K32" i="1"/>
  <c r="F17" i="2" s="1"/>
  <c r="K33" i="1"/>
  <c r="K34" i="1"/>
  <c r="K35" i="1"/>
  <c r="K36" i="1"/>
  <c r="K37" i="1"/>
  <c r="K38" i="1"/>
  <c r="K42" i="1"/>
  <c r="K43" i="1"/>
  <c r="F5" i="2" s="1"/>
  <c r="K44" i="1"/>
  <c r="K45" i="1"/>
  <c r="K46" i="1"/>
  <c r="K47" i="1"/>
  <c r="F7" i="2" s="1"/>
  <c r="K48" i="1"/>
  <c r="K49" i="1"/>
  <c r="L49" i="1" s="1"/>
  <c r="K50" i="1"/>
  <c r="F19" i="2" s="1"/>
  <c r="K51" i="1"/>
  <c r="K52" i="1"/>
  <c r="K53" i="1"/>
  <c r="F15" i="2" s="1"/>
  <c r="K54" i="1"/>
  <c r="K55" i="1"/>
  <c r="F21" i="2" s="1"/>
  <c r="K56" i="1"/>
  <c r="K57" i="1"/>
  <c r="F23" i="2" s="1"/>
  <c r="K58" i="1"/>
  <c r="K59" i="1"/>
  <c r="K60" i="1"/>
  <c r="K61" i="1"/>
  <c r="K62" i="1"/>
  <c r="K63" i="1"/>
  <c r="L63" i="1" s="1"/>
  <c r="K64" i="1"/>
  <c r="K65" i="1"/>
  <c r="E65" i="14" s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F4" i="2"/>
  <c r="F8" i="2"/>
  <c r="F10" i="2"/>
  <c r="F14" i="2"/>
  <c r="F20" i="2"/>
  <c r="F22" i="2"/>
  <c r="F24" i="2"/>
  <c r="F25" i="2"/>
  <c r="F26" i="2"/>
  <c r="F27" i="2"/>
  <c r="F28" i="2"/>
  <c r="F29" i="2"/>
  <c r="F30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E9" i="2"/>
  <c r="E10" i="2"/>
  <c r="E11" i="2"/>
  <c r="E12" i="2"/>
  <c r="E15" i="2"/>
  <c r="E16" i="2"/>
  <c r="E18" i="2"/>
  <c r="E21" i="2"/>
  <c r="E23" i="2"/>
  <c r="E24" i="2"/>
  <c r="E25" i="2"/>
  <c r="E26" i="2"/>
  <c r="E27" i="2"/>
  <c r="E28" i="2"/>
  <c r="E29" i="2"/>
  <c r="E30" i="2"/>
  <c r="E31" i="2"/>
  <c r="E32" i="2"/>
  <c r="G32" i="2" s="1"/>
  <c r="E33" i="2"/>
  <c r="G33" i="2" s="1"/>
  <c r="E34" i="2"/>
  <c r="G34" i="2" s="1"/>
  <c r="E35" i="2"/>
  <c r="E36" i="2"/>
  <c r="G36" i="2" s="1"/>
  <c r="E37" i="2"/>
  <c r="G37" i="2" s="1"/>
  <c r="E38" i="2"/>
  <c r="G38" i="2" s="1"/>
  <c r="E39" i="2"/>
  <c r="G39" i="2" s="1"/>
  <c r="E40" i="2"/>
  <c r="G40" i="2" s="1"/>
  <c r="E41" i="2"/>
  <c r="G41" i="2" s="1"/>
  <c r="E42" i="2"/>
  <c r="G42" i="2" s="1"/>
  <c r="E43" i="2"/>
  <c r="G43" i="2" s="1"/>
  <c r="E44" i="2"/>
  <c r="G44" i="2" s="1"/>
  <c r="E45" i="2"/>
  <c r="G45" i="2" s="1"/>
  <c r="E46" i="2"/>
  <c r="G46" i="2" s="1"/>
  <c r="E47" i="2"/>
  <c r="G47" i="2" s="1"/>
  <c r="E48" i="2"/>
  <c r="G48" i="2" s="1"/>
  <c r="E49" i="2"/>
  <c r="G49" i="2" s="1"/>
  <c r="E50" i="2"/>
  <c r="G50" i="2" s="1"/>
  <c r="E51" i="2"/>
  <c r="G51" i="2" s="1"/>
  <c r="E52" i="2"/>
  <c r="G52" i="2" s="1"/>
  <c r="E53" i="2"/>
  <c r="G53" i="2" s="1"/>
  <c r="E54" i="2"/>
  <c r="G54" i="2" s="1"/>
  <c r="E55" i="2"/>
  <c r="G55" i="2" s="1"/>
  <c r="E56" i="2"/>
  <c r="G56" i="2" s="1"/>
  <c r="E57" i="2"/>
  <c r="G57" i="2" s="1"/>
  <c r="E58" i="2"/>
  <c r="G58" i="2" s="1"/>
  <c r="E59" i="2"/>
  <c r="G59" i="2" s="1"/>
  <c r="E60" i="2"/>
  <c r="G60" i="2" s="1"/>
  <c r="E61" i="2"/>
  <c r="G61" i="2" s="1"/>
  <c r="E62" i="2"/>
  <c r="G62" i="2" s="1"/>
  <c r="E63" i="2"/>
  <c r="G63" i="2" s="1"/>
  <c r="E64" i="2"/>
  <c r="G64" i="2" s="1"/>
  <c r="E65" i="2"/>
  <c r="G65" i="2" s="1"/>
  <c r="E66" i="2"/>
  <c r="G66" i="2" s="1"/>
  <c r="E67" i="2"/>
  <c r="G67" i="2" s="1"/>
  <c r="E68" i="2"/>
  <c r="G68" i="2" s="1"/>
  <c r="E69" i="2"/>
  <c r="G69" i="2" s="1"/>
  <c r="E70" i="2"/>
  <c r="G70" i="2" s="1"/>
  <c r="E71" i="2"/>
  <c r="G71" i="2" s="1"/>
  <c r="E72" i="2"/>
  <c r="G72" i="2" s="1"/>
  <c r="E73" i="2"/>
  <c r="G73" i="2" s="1"/>
  <c r="E74" i="2"/>
  <c r="G74" i="2" s="1"/>
  <c r="E75" i="2"/>
  <c r="G75" i="2" s="1"/>
  <c r="E76" i="2"/>
  <c r="G76" i="2" s="1"/>
  <c r="E77" i="2"/>
  <c r="G77" i="2" s="1"/>
  <c r="E78" i="2"/>
  <c r="G78" i="2" s="1"/>
  <c r="E79" i="2"/>
  <c r="G79" i="2" s="1"/>
  <c r="E80" i="2"/>
  <c r="G80" i="2" s="1"/>
  <c r="E81" i="2"/>
  <c r="G81" i="2" s="1"/>
  <c r="E82" i="2"/>
  <c r="G82" i="2" s="1"/>
  <c r="E83" i="2"/>
  <c r="G83" i="2" s="1"/>
  <c r="E84" i="2"/>
  <c r="G84" i="2" s="1"/>
  <c r="E85" i="2"/>
  <c r="G85" i="2" s="1"/>
  <c r="E86" i="2"/>
  <c r="G86" i="2" s="1"/>
  <c r="E87" i="2"/>
  <c r="G87" i="2" s="1"/>
  <c r="E88" i="2"/>
  <c r="G88" i="2" s="1"/>
  <c r="E89" i="2"/>
  <c r="G89" i="2" s="1"/>
  <c r="E90" i="2"/>
  <c r="G90" i="2" s="1"/>
  <c r="E91" i="2"/>
  <c r="G91" i="2" s="1"/>
  <c r="E92" i="2"/>
  <c r="G92" i="2" s="1"/>
  <c r="E93" i="2"/>
  <c r="G93" i="2" s="1"/>
  <c r="E94" i="2"/>
  <c r="G94" i="2" s="1"/>
  <c r="E95" i="2"/>
  <c r="G95" i="2" s="1"/>
  <c r="E96" i="2"/>
  <c r="G96" i="2" s="1"/>
  <c r="E97" i="2"/>
  <c r="G97" i="2" s="1"/>
  <c r="E98" i="2"/>
  <c r="G98" i="2" s="1"/>
  <c r="E99" i="2"/>
  <c r="G99" i="2" s="1"/>
  <c r="E100" i="2"/>
  <c r="G100" i="2" s="1"/>
  <c r="E101" i="2"/>
  <c r="G101" i="2" s="1"/>
  <c r="E102" i="2"/>
  <c r="G102" i="2" s="1"/>
  <c r="E103" i="2"/>
  <c r="G103" i="2" s="1"/>
  <c r="E104" i="2"/>
  <c r="G104" i="2" s="1"/>
  <c r="E105" i="2"/>
  <c r="G105" i="2" s="1"/>
  <c r="E106" i="2"/>
  <c r="G106" i="2" s="1"/>
  <c r="E107" i="2"/>
  <c r="G107" i="2" s="1"/>
  <c r="E108" i="2"/>
  <c r="G108" i="2" s="1"/>
  <c r="E109" i="2"/>
  <c r="G109" i="2" s="1"/>
  <c r="E110" i="2"/>
  <c r="G110" i="2" s="1"/>
  <c r="E111" i="2"/>
  <c r="G111" i="2" s="1"/>
  <c r="E112" i="2"/>
  <c r="G112" i="2" s="1"/>
  <c r="E113" i="2"/>
  <c r="G113" i="2" s="1"/>
  <c r="E114" i="2"/>
  <c r="G114" i="2" s="1"/>
  <c r="E115" i="2"/>
  <c r="G115" i="2" s="1"/>
  <c r="E116" i="2"/>
  <c r="G116" i="2" s="1"/>
  <c r="E117" i="2"/>
  <c r="G117" i="2" s="1"/>
  <c r="E118" i="2"/>
  <c r="G118" i="2" s="1"/>
  <c r="E119" i="2"/>
  <c r="G119" i="2" s="1"/>
  <c r="E120" i="2"/>
  <c r="G120" i="2" s="1"/>
  <c r="E121" i="2"/>
  <c r="G121" i="2" s="1"/>
  <c r="E122" i="2"/>
  <c r="G122" i="2" s="1"/>
  <c r="E123" i="2"/>
  <c r="G123" i="2" s="1"/>
  <c r="E124" i="2"/>
  <c r="G124" i="2" s="1"/>
  <c r="E125" i="2"/>
  <c r="G125" i="2" s="1"/>
  <c r="E126" i="2"/>
  <c r="G126" i="2" s="1"/>
  <c r="E127" i="2"/>
  <c r="G127" i="2" s="1"/>
  <c r="E128" i="2"/>
  <c r="G128" i="2" s="1"/>
  <c r="E129" i="2"/>
  <c r="G129" i="2" s="1"/>
  <c r="E130" i="2"/>
  <c r="G130" i="2" s="1"/>
  <c r="E131" i="2"/>
  <c r="G131" i="2" s="1"/>
  <c r="E132" i="2"/>
  <c r="G132" i="2" s="1"/>
  <c r="E133" i="2"/>
  <c r="G133" i="2" s="1"/>
  <c r="E134" i="2"/>
  <c r="G134" i="2" s="1"/>
  <c r="E135" i="2"/>
  <c r="G135" i="2" s="1"/>
  <c r="E136" i="2"/>
  <c r="G136" i="2" s="1"/>
  <c r="E137" i="2"/>
  <c r="G137" i="2" s="1"/>
  <c r="E138" i="2"/>
  <c r="G138" i="2" s="1"/>
  <c r="E139" i="2"/>
  <c r="G139" i="2" s="1"/>
  <c r="E140" i="2"/>
  <c r="G140" i="2" s="1"/>
  <c r="E141" i="2"/>
  <c r="G141" i="2" s="1"/>
  <c r="E142" i="2"/>
  <c r="G142" i="2" s="1"/>
  <c r="E143" i="2"/>
  <c r="G143" i="2" s="1"/>
  <c r="E144" i="2"/>
  <c r="G144" i="2" s="1"/>
  <c r="E145" i="2"/>
  <c r="G145" i="2" s="1"/>
  <c r="E146" i="2"/>
  <c r="G146" i="2" s="1"/>
  <c r="E147" i="2"/>
  <c r="G147" i="2" s="1"/>
  <c r="E148" i="2"/>
  <c r="G148" i="2" s="1"/>
  <c r="E149" i="2"/>
  <c r="G149" i="2" s="1"/>
  <c r="E150" i="2"/>
  <c r="G150" i="2" s="1"/>
  <c r="E151" i="2"/>
  <c r="G151" i="2" s="1"/>
  <c r="E152" i="2"/>
  <c r="G152" i="2" s="1"/>
  <c r="E153" i="2"/>
  <c r="G153" i="2" s="1"/>
  <c r="E154" i="2"/>
  <c r="G154" i="2" s="1"/>
  <c r="E155" i="2"/>
  <c r="G155" i="2" s="1"/>
  <c r="E156" i="2"/>
  <c r="G156" i="2" s="1"/>
  <c r="E157" i="2"/>
  <c r="G157" i="2" s="1"/>
  <c r="E158" i="2"/>
  <c r="G158" i="2" s="1"/>
  <c r="E159" i="2"/>
  <c r="G159" i="2" s="1"/>
  <c r="E160" i="2"/>
  <c r="G160" i="2" s="1"/>
  <c r="E161" i="2"/>
  <c r="G161" i="2" s="1"/>
  <c r="E162" i="2"/>
  <c r="G162" i="2" s="1"/>
  <c r="E163" i="2"/>
  <c r="G163" i="2" s="1"/>
  <c r="E164" i="2"/>
  <c r="G164" i="2" s="1"/>
  <c r="E165" i="2"/>
  <c r="G165" i="2" s="1"/>
  <c r="E166" i="2"/>
  <c r="G166" i="2" s="1"/>
  <c r="E167" i="2"/>
  <c r="G167" i="2" s="1"/>
  <c r="E168" i="2"/>
  <c r="G168" i="2" s="1"/>
  <c r="E169" i="2"/>
  <c r="G169" i="2" s="1"/>
  <c r="E170" i="2"/>
  <c r="G170" i="2" s="1"/>
  <c r="E171" i="2"/>
  <c r="G171" i="2" s="1"/>
  <c r="E172" i="2"/>
  <c r="G172" i="2" s="1"/>
  <c r="E173" i="2"/>
  <c r="G173" i="2" s="1"/>
  <c r="E174" i="2"/>
  <c r="G174" i="2" s="1"/>
  <c r="E175" i="2"/>
  <c r="G175" i="2" s="1"/>
  <c r="E176" i="2"/>
  <c r="G176" i="2" s="1"/>
  <c r="E177" i="2"/>
  <c r="G177" i="2" s="1"/>
  <c r="E178" i="2"/>
  <c r="G178" i="2" s="1"/>
  <c r="E179" i="2"/>
  <c r="G179" i="2" s="1"/>
  <c r="E180" i="2"/>
  <c r="G180" i="2" s="1"/>
  <c r="E181" i="2"/>
  <c r="G181" i="2" s="1"/>
  <c r="E182" i="2"/>
  <c r="G182" i="2" s="1"/>
  <c r="E183" i="2"/>
  <c r="G183" i="2" s="1"/>
  <c r="E184" i="2"/>
  <c r="G184" i="2" s="1"/>
  <c r="E185" i="2"/>
  <c r="G185" i="2" s="1"/>
  <c r="E186" i="2"/>
  <c r="G186" i="2" s="1"/>
  <c r="E187" i="2"/>
  <c r="G187" i="2" s="1"/>
  <c r="E188" i="2"/>
  <c r="G188" i="2" s="1"/>
  <c r="E189" i="2"/>
  <c r="G189" i="2" s="1"/>
  <c r="E190" i="2"/>
  <c r="G190" i="2" s="1"/>
  <c r="E191" i="2"/>
  <c r="G191" i="2" s="1"/>
  <c r="E192" i="2"/>
  <c r="G192" i="2" s="1"/>
  <c r="E193" i="2"/>
  <c r="G193" i="2" s="1"/>
  <c r="E194" i="2"/>
  <c r="G194" i="2" s="1"/>
  <c r="E195" i="2"/>
  <c r="G195" i="2" s="1"/>
  <c r="E196" i="2"/>
  <c r="G196" i="2" s="1"/>
  <c r="E197" i="2"/>
  <c r="G197" i="2" s="1"/>
  <c r="E198" i="2"/>
  <c r="G198" i="2" s="1"/>
  <c r="E199" i="2"/>
  <c r="G199" i="2" s="1"/>
  <c r="E200" i="2"/>
  <c r="G200" i="2" s="1"/>
  <c r="E201" i="2"/>
  <c r="G201" i="2" s="1"/>
  <c r="E202" i="2"/>
  <c r="G202" i="2" s="1"/>
  <c r="M3" i="1"/>
  <c r="G3" i="14" s="1"/>
  <c r="M5" i="1"/>
  <c r="G5" i="14" s="1"/>
  <c r="M6" i="1"/>
  <c r="G6" i="14" s="1"/>
  <c r="M7" i="1"/>
  <c r="G7" i="14" s="1"/>
  <c r="M8" i="1"/>
  <c r="G8" i="14" s="1"/>
  <c r="M9" i="1"/>
  <c r="G9" i="14" s="1"/>
  <c r="M10" i="1"/>
  <c r="G10" i="14" s="1"/>
  <c r="M11" i="1"/>
  <c r="G11" i="14" s="1"/>
  <c r="M12" i="1"/>
  <c r="G12" i="14" s="1"/>
  <c r="M13" i="1"/>
  <c r="G13" i="14" s="1"/>
  <c r="M14" i="1"/>
  <c r="G14" i="14" s="1"/>
  <c r="M15" i="1"/>
  <c r="G15" i="14" s="1"/>
  <c r="M16" i="1"/>
  <c r="G16" i="14" s="1"/>
  <c r="M17" i="1"/>
  <c r="G17" i="14" s="1"/>
  <c r="M19" i="1"/>
  <c r="G19" i="14" s="1"/>
  <c r="M20" i="1"/>
  <c r="G20" i="14" s="1"/>
  <c r="M21" i="1"/>
  <c r="G21" i="14" s="1"/>
  <c r="M22" i="1"/>
  <c r="G22" i="14" s="1"/>
  <c r="M23" i="1"/>
  <c r="G23" i="14" s="1"/>
  <c r="M24" i="1"/>
  <c r="G24" i="14" s="1"/>
  <c r="M25" i="1"/>
  <c r="G25" i="14" s="1"/>
  <c r="M26" i="1"/>
  <c r="G26" i="14" s="1"/>
  <c r="M27" i="1"/>
  <c r="G27" i="14" s="1"/>
  <c r="M28" i="1"/>
  <c r="G28" i="14" s="1"/>
  <c r="M29" i="1"/>
  <c r="G29" i="14" s="1"/>
  <c r="M30" i="1"/>
  <c r="G30" i="14" s="1"/>
  <c r="M31" i="1"/>
  <c r="G31" i="14" s="1"/>
  <c r="M32" i="1"/>
  <c r="G32" i="14" s="1"/>
  <c r="M33" i="1"/>
  <c r="G33" i="14" s="1"/>
  <c r="M34" i="1"/>
  <c r="G34" i="14" s="1"/>
  <c r="M35" i="1"/>
  <c r="G35" i="14" s="1"/>
  <c r="M36" i="1"/>
  <c r="G36" i="14" s="1"/>
  <c r="M37" i="1"/>
  <c r="G37" i="14" s="1"/>
  <c r="M38" i="1"/>
  <c r="G38" i="14" s="1"/>
  <c r="M39" i="1"/>
  <c r="G39" i="14" s="1"/>
  <c r="M40" i="1"/>
  <c r="G40" i="14" s="1"/>
  <c r="M41" i="1"/>
  <c r="G41" i="14" s="1"/>
  <c r="M42" i="1"/>
  <c r="G42" i="14" s="1"/>
  <c r="M43" i="1"/>
  <c r="G43" i="14" s="1"/>
  <c r="M44" i="1"/>
  <c r="G44" i="14" s="1"/>
  <c r="M45" i="1"/>
  <c r="G45" i="14" s="1"/>
  <c r="M46" i="1"/>
  <c r="G46" i="14" s="1"/>
  <c r="M47" i="1"/>
  <c r="G47" i="14" s="1"/>
  <c r="M48" i="1"/>
  <c r="G48" i="14" s="1"/>
  <c r="M49" i="1"/>
  <c r="G49" i="14" s="1"/>
  <c r="M50" i="1"/>
  <c r="G50" i="14" s="1"/>
  <c r="M51" i="1"/>
  <c r="G51" i="14" s="1"/>
  <c r="M52" i="1"/>
  <c r="G52" i="14" s="1"/>
  <c r="M53" i="1"/>
  <c r="G53" i="14" s="1"/>
  <c r="M54" i="1"/>
  <c r="G54" i="14" s="1"/>
  <c r="M55" i="1"/>
  <c r="G55" i="14" s="1"/>
  <c r="M56" i="1"/>
  <c r="G56" i="14" s="1"/>
  <c r="M57" i="1"/>
  <c r="G57" i="14" s="1"/>
  <c r="M58" i="1"/>
  <c r="G58" i="14" s="1"/>
  <c r="M59" i="1"/>
  <c r="G59" i="14" s="1"/>
  <c r="M60" i="1"/>
  <c r="G60" i="14" s="1"/>
  <c r="M61" i="1"/>
  <c r="G61" i="14" s="1"/>
  <c r="M62" i="1"/>
  <c r="G62" i="14" s="1"/>
  <c r="M63" i="1"/>
  <c r="G63" i="14" s="1"/>
  <c r="M64" i="1"/>
  <c r="G64" i="14" s="1"/>
  <c r="M65" i="1"/>
  <c r="G65" i="14" s="1"/>
  <c r="M66" i="1"/>
  <c r="G66" i="14" s="1"/>
  <c r="M67" i="1"/>
  <c r="G67" i="14" s="1"/>
  <c r="M68" i="1"/>
  <c r="G68" i="14" s="1"/>
  <c r="M69" i="1"/>
  <c r="G69" i="14" s="1"/>
  <c r="M70" i="1"/>
  <c r="G70" i="14" s="1"/>
  <c r="M71" i="1"/>
  <c r="G71" i="14" s="1"/>
  <c r="M72" i="1"/>
  <c r="G72" i="14" s="1"/>
  <c r="M73" i="1"/>
  <c r="G73" i="14" s="1"/>
  <c r="M74" i="1"/>
  <c r="G74" i="14" s="1"/>
  <c r="M75" i="1"/>
  <c r="G75" i="14" s="1"/>
  <c r="M76" i="1"/>
  <c r="G76" i="14" s="1"/>
  <c r="M77" i="1"/>
  <c r="G77" i="14" s="1"/>
  <c r="M78" i="1"/>
  <c r="G78" i="14" s="1"/>
  <c r="M79" i="1"/>
  <c r="G79" i="14" s="1"/>
  <c r="M80" i="1"/>
  <c r="G80" i="14" s="1"/>
  <c r="M81" i="1"/>
  <c r="G81" i="14" s="1"/>
  <c r="M82" i="1"/>
  <c r="G82" i="14" s="1"/>
  <c r="M83" i="1"/>
  <c r="G83" i="14" s="1"/>
  <c r="M84" i="1"/>
  <c r="G84" i="14" s="1"/>
  <c r="M85" i="1"/>
  <c r="G85" i="14" s="1"/>
  <c r="M86" i="1"/>
  <c r="G86" i="14" s="1"/>
  <c r="M87" i="1"/>
  <c r="G87" i="14" s="1"/>
  <c r="M88" i="1"/>
  <c r="G88" i="14" s="1"/>
  <c r="N67" i="1"/>
  <c r="H67" i="14" s="1"/>
  <c r="N68" i="1"/>
  <c r="H68" i="14" s="1"/>
  <c r="N69" i="1"/>
  <c r="H69" i="14" s="1"/>
  <c r="N70" i="1"/>
  <c r="H70" i="14" s="1"/>
  <c r="N71" i="1"/>
  <c r="H71" i="14" s="1"/>
  <c r="N72" i="1"/>
  <c r="H72" i="14" s="1"/>
  <c r="N73" i="1"/>
  <c r="H73" i="14" s="1"/>
  <c r="N74" i="1"/>
  <c r="H74" i="14" s="1"/>
  <c r="N75" i="1"/>
  <c r="H75" i="14" s="1"/>
  <c r="N76" i="1"/>
  <c r="H76" i="14" s="1"/>
  <c r="N77" i="1"/>
  <c r="H77" i="14" s="1"/>
  <c r="N78" i="1"/>
  <c r="H78" i="14" s="1"/>
  <c r="N79" i="1"/>
  <c r="H79" i="14" s="1"/>
  <c r="N80" i="1"/>
  <c r="H80" i="14" s="1"/>
  <c r="N81" i="1"/>
  <c r="H81" i="14" s="1"/>
  <c r="N82" i="1"/>
  <c r="H82" i="14" s="1"/>
  <c r="N83" i="1"/>
  <c r="H83" i="14" s="1"/>
  <c r="N84" i="1"/>
  <c r="H84" i="14" s="1"/>
  <c r="N85" i="1"/>
  <c r="H85" i="14" s="1"/>
  <c r="N86" i="1"/>
  <c r="H86" i="14" s="1"/>
  <c r="N87" i="1"/>
  <c r="H87" i="14" s="1"/>
  <c r="N88" i="1"/>
  <c r="H88" i="14" s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E6" i="2"/>
  <c r="L65" i="1"/>
  <c r="O2" i="1"/>
  <c r="H3" i="2" l="1"/>
  <c r="A2" i="1"/>
  <c r="N65" i="1"/>
  <c r="H65" i="14" s="1"/>
  <c r="F65" i="14"/>
  <c r="G35" i="2"/>
  <c r="H35" i="2" s="1"/>
  <c r="N63" i="1"/>
  <c r="H63" i="14" s="1"/>
  <c r="L61" i="1"/>
  <c r="N61" i="1" s="1"/>
  <c r="H61" i="14" s="1"/>
  <c r="L59" i="1"/>
  <c r="G29" i="2"/>
  <c r="J29" i="2" s="1"/>
  <c r="G27" i="2"/>
  <c r="H27" i="2" s="1"/>
  <c r="G25" i="2"/>
  <c r="J25" i="2" s="1"/>
  <c r="N59" i="1"/>
  <c r="H59" i="14" s="1"/>
  <c r="G30" i="2"/>
  <c r="H30" i="2" s="1"/>
  <c r="G28" i="2"/>
  <c r="J28" i="2" s="1"/>
  <c r="G26" i="2"/>
  <c r="H26" i="2" s="1"/>
  <c r="G24" i="2"/>
  <c r="J24" i="2" s="1"/>
  <c r="G10" i="2"/>
  <c r="J10" i="2" s="1"/>
  <c r="G31" i="2"/>
  <c r="J31" i="2" s="1"/>
  <c r="F14" i="3"/>
  <c r="G16" i="2"/>
  <c r="H16" i="2" s="1"/>
  <c r="G22" i="2"/>
  <c r="H22" i="2" s="1"/>
  <c r="G20" i="2"/>
  <c r="J20" i="2" s="1"/>
  <c r="G14" i="2"/>
  <c r="H14" i="2" s="1"/>
  <c r="G23" i="2"/>
  <c r="H23" i="2" s="1"/>
  <c r="G21" i="2"/>
  <c r="J21" i="2" s="1"/>
  <c r="G15" i="2"/>
  <c r="H15" i="2" s="1"/>
  <c r="G18" i="2"/>
  <c r="H18" i="2" s="1"/>
  <c r="G12" i="2"/>
  <c r="J12" i="2" s="1"/>
  <c r="G19" i="2"/>
  <c r="J19" i="2" s="1"/>
  <c r="G17" i="2"/>
  <c r="H17" i="2" s="1"/>
  <c r="G13" i="2"/>
  <c r="J13" i="2" s="1"/>
  <c r="G11" i="2"/>
  <c r="J11" i="2" s="1"/>
  <c r="G9" i="2"/>
  <c r="J9" i="2" s="1"/>
  <c r="L57" i="1"/>
  <c r="L55" i="1"/>
  <c r="N57" i="1"/>
  <c r="H57" i="14" s="1"/>
  <c r="N55" i="1"/>
  <c r="H55" i="14" s="1"/>
  <c r="L53" i="1"/>
  <c r="N53" i="1" s="1"/>
  <c r="H53" i="14" s="1"/>
  <c r="E5" i="11"/>
  <c r="M89" i="1"/>
  <c r="E3" i="11"/>
  <c r="N49" i="1"/>
  <c r="H49" i="14" s="1"/>
  <c r="L66" i="1"/>
  <c r="N66" i="1" s="1"/>
  <c r="H66" i="14" s="1"/>
  <c r="L64" i="1"/>
  <c r="N64" i="1" s="1"/>
  <c r="H64" i="14" s="1"/>
  <c r="L62" i="1"/>
  <c r="N62" i="1" s="1"/>
  <c r="H62" i="14" s="1"/>
  <c r="L60" i="1"/>
  <c r="N60" i="1" s="1"/>
  <c r="H60" i="14" s="1"/>
  <c r="L58" i="1"/>
  <c r="N58" i="1" s="1"/>
  <c r="H58" i="14" s="1"/>
  <c r="L56" i="1"/>
  <c r="N56" i="1" s="1"/>
  <c r="H56" i="14" s="1"/>
  <c r="L54" i="1"/>
  <c r="N54" i="1" s="1"/>
  <c r="H54" i="14" s="1"/>
  <c r="L52" i="1"/>
  <c r="N52" i="1" s="1"/>
  <c r="H52" i="14" s="1"/>
  <c r="L51" i="1"/>
  <c r="N51" i="1" s="1"/>
  <c r="H51" i="14" s="1"/>
  <c r="L50" i="1"/>
  <c r="N50" i="1" s="1"/>
  <c r="H50" i="14" s="1"/>
  <c r="L46" i="1"/>
  <c r="N46" i="1" s="1"/>
  <c r="H46" i="14" s="1"/>
  <c r="L44" i="1"/>
  <c r="N44" i="1" s="1"/>
  <c r="H44" i="14" s="1"/>
  <c r="L2" i="1"/>
  <c r="N2" i="1" s="1"/>
  <c r="H2" i="14" s="1"/>
  <c r="L47" i="1"/>
  <c r="N47" i="1" s="1"/>
  <c r="H47" i="14" s="1"/>
  <c r="L45" i="1"/>
  <c r="N45" i="1" s="1"/>
  <c r="H45" i="14" s="1"/>
  <c r="L48" i="1"/>
  <c r="N48" i="1" s="1"/>
  <c r="H48" i="14" s="1"/>
  <c r="L4" i="1"/>
  <c r="N4" i="1" s="1"/>
  <c r="H4" i="14" s="1"/>
  <c r="L18" i="1"/>
  <c r="E8" i="2"/>
  <c r="G8" i="2" s="1"/>
  <c r="N18" i="1"/>
  <c r="H18" i="14" s="1"/>
  <c r="E7" i="2"/>
  <c r="G7" i="2" s="1"/>
  <c r="H7" i="2" s="1"/>
  <c r="G4" i="2"/>
  <c r="H4" i="2" s="1"/>
  <c r="G6" i="2"/>
  <c r="H6" i="2" s="1"/>
  <c r="C15" i="10"/>
  <c r="D15" i="10"/>
  <c r="D6" i="10" s="1"/>
  <c r="E15" i="10"/>
  <c r="E5" i="10" s="1"/>
  <c r="F15" i="10"/>
  <c r="F6" i="10" s="1"/>
  <c r="G15" i="10"/>
  <c r="G10" i="10" s="1"/>
  <c r="H15" i="10"/>
  <c r="H9" i="10" s="1"/>
  <c r="B15" i="10"/>
  <c r="L43" i="1"/>
  <c r="N43" i="1" s="1"/>
  <c r="H43" i="14" s="1"/>
  <c r="E5" i="2"/>
  <c r="G5" i="2" s="1"/>
  <c r="J5" i="2" s="1"/>
  <c r="J202" i="2"/>
  <c r="H202" i="2"/>
  <c r="J201" i="2"/>
  <c r="H201" i="2"/>
  <c r="J200" i="2"/>
  <c r="H200" i="2"/>
  <c r="J199" i="2"/>
  <c r="H199" i="2"/>
  <c r="J198" i="2"/>
  <c r="H198" i="2"/>
  <c r="J197" i="2"/>
  <c r="H197" i="2"/>
  <c r="J196" i="2"/>
  <c r="H196" i="2"/>
  <c r="J195" i="2"/>
  <c r="H195" i="2"/>
  <c r="J194" i="2"/>
  <c r="H194" i="2"/>
  <c r="J193" i="2"/>
  <c r="H193" i="2"/>
  <c r="J192" i="2"/>
  <c r="H192" i="2"/>
  <c r="J191" i="2"/>
  <c r="H191" i="2"/>
  <c r="J190" i="2"/>
  <c r="H190" i="2"/>
  <c r="J189" i="2"/>
  <c r="H189" i="2"/>
  <c r="J188" i="2"/>
  <c r="H188" i="2"/>
  <c r="J187" i="2"/>
  <c r="H187" i="2"/>
  <c r="J186" i="2"/>
  <c r="H186" i="2"/>
  <c r="J185" i="2"/>
  <c r="H185" i="2"/>
  <c r="J184" i="2"/>
  <c r="H184" i="2"/>
  <c r="J183" i="2"/>
  <c r="H183" i="2"/>
  <c r="J182" i="2"/>
  <c r="H182" i="2"/>
  <c r="J181" i="2"/>
  <c r="H181" i="2"/>
  <c r="J180" i="2"/>
  <c r="H180" i="2"/>
  <c r="J179" i="2"/>
  <c r="H179" i="2"/>
  <c r="J178" i="2"/>
  <c r="H178" i="2"/>
  <c r="J177" i="2"/>
  <c r="H177" i="2"/>
  <c r="J176" i="2"/>
  <c r="H176" i="2"/>
  <c r="J175" i="2"/>
  <c r="H175" i="2"/>
  <c r="J174" i="2"/>
  <c r="H174" i="2"/>
  <c r="J173" i="2"/>
  <c r="H173" i="2"/>
  <c r="J172" i="2"/>
  <c r="H172" i="2"/>
  <c r="J171" i="2"/>
  <c r="H171" i="2"/>
  <c r="J170" i="2"/>
  <c r="H170" i="2"/>
  <c r="J169" i="2"/>
  <c r="H169" i="2"/>
  <c r="J168" i="2"/>
  <c r="H168" i="2"/>
  <c r="J167" i="2"/>
  <c r="H167" i="2"/>
  <c r="J166" i="2"/>
  <c r="H166" i="2"/>
  <c r="J165" i="2"/>
  <c r="H165" i="2"/>
  <c r="J164" i="2"/>
  <c r="H164" i="2"/>
  <c r="J163" i="2"/>
  <c r="H163" i="2"/>
  <c r="J162" i="2"/>
  <c r="H162" i="2"/>
  <c r="J161" i="2"/>
  <c r="H161" i="2"/>
  <c r="J160" i="2"/>
  <c r="H160" i="2"/>
  <c r="J159" i="2"/>
  <c r="H159" i="2"/>
  <c r="J158" i="2"/>
  <c r="H158" i="2"/>
  <c r="J157" i="2"/>
  <c r="H157" i="2"/>
  <c r="J156" i="2"/>
  <c r="H156" i="2"/>
  <c r="J155" i="2"/>
  <c r="H155" i="2"/>
  <c r="J154" i="2"/>
  <c r="H154" i="2"/>
  <c r="J153" i="2"/>
  <c r="H153" i="2"/>
  <c r="J152" i="2"/>
  <c r="H152" i="2"/>
  <c r="J151" i="2"/>
  <c r="H151" i="2"/>
  <c r="J150" i="2"/>
  <c r="H150" i="2"/>
  <c r="J149" i="2"/>
  <c r="H149" i="2"/>
  <c r="J148" i="2"/>
  <c r="H148" i="2"/>
  <c r="J147" i="2"/>
  <c r="H147" i="2"/>
  <c r="J146" i="2"/>
  <c r="H146" i="2"/>
  <c r="J145" i="2"/>
  <c r="H145" i="2"/>
  <c r="J144" i="2"/>
  <c r="H144" i="2"/>
  <c r="J143" i="2"/>
  <c r="H143" i="2"/>
  <c r="J142" i="2"/>
  <c r="H142" i="2"/>
  <c r="J141" i="2"/>
  <c r="H141" i="2"/>
  <c r="J140" i="2"/>
  <c r="H140" i="2"/>
  <c r="J139" i="2"/>
  <c r="H139" i="2"/>
  <c r="J138" i="2"/>
  <c r="H138" i="2"/>
  <c r="J137" i="2"/>
  <c r="H137" i="2"/>
  <c r="J136" i="2"/>
  <c r="H136" i="2"/>
  <c r="J135" i="2"/>
  <c r="H135" i="2"/>
  <c r="J134" i="2"/>
  <c r="H134" i="2"/>
  <c r="J133" i="2"/>
  <c r="H133" i="2"/>
  <c r="J132" i="2"/>
  <c r="H132" i="2"/>
  <c r="J131" i="2"/>
  <c r="H131" i="2"/>
  <c r="J130" i="2"/>
  <c r="H130" i="2"/>
  <c r="J129" i="2"/>
  <c r="H129" i="2"/>
  <c r="J128" i="2"/>
  <c r="H128" i="2"/>
  <c r="J127" i="2"/>
  <c r="H127" i="2"/>
  <c r="J126" i="2"/>
  <c r="H126" i="2"/>
  <c r="J125" i="2"/>
  <c r="H125" i="2"/>
  <c r="J124" i="2"/>
  <c r="H124" i="2"/>
  <c r="J123" i="2"/>
  <c r="H123" i="2"/>
  <c r="J122" i="2"/>
  <c r="H122" i="2"/>
  <c r="J121" i="2"/>
  <c r="H121" i="2"/>
  <c r="J120" i="2"/>
  <c r="H120" i="2"/>
  <c r="J119" i="2"/>
  <c r="H119" i="2"/>
  <c r="J118" i="2"/>
  <c r="H118" i="2"/>
  <c r="J117" i="2"/>
  <c r="H117" i="2"/>
  <c r="J116" i="2"/>
  <c r="H116" i="2"/>
  <c r="J115" i="2"/>
  <c r="H115" i="2"/>
  <c r="J114" i="2"/>
  <c r="H114" i="2"/>
  <c r="J113" i="2"/>
  <c r="H113" i="2"/>
  <c r="J112" i="2"/>
  <c r="H112" i="2"/>
  <c r="J111" i="2"/>
  <c r="H111" i="2"/>
  <c r="J110" i="2"/>
  <c r="H110" i="2"/>
  <c r="J109" i="2"/>
  <c r="H109" i="2"/>
  <c r="J108" i="2"/>
  <c r="H108" i="2"/>
  <c r="J107" i="2"/>
  <c r="H107" i="2"/>
  <c r="J106" i="2"/>
  <c r="H106" i="2"/>
  <c r="J105" i="2"/>
  <c r="H105" i="2"/>
  <c r="J104" i="2"/>
  <c r="H104" i="2"/>
  <c r="J103" i="2"/>
  <c r="H103" i="2"/>
  <c r="J102" i="2"/>
  <c r="H102" i="2"/>
  <c r="J101" i="2"/>
  <c r="H101" i="2"/>
  <c r="J100" i="2"/>
  <c r="H100" i="2"/>
  <c r="J99" i="2"/>
  <c r="H99" i="2"/>
  <c r="J98" i="2"/>
  <c r="H98" i="2"/>
  <c r="J97" i="2"/>
  <c r="H97" i="2"/>
  <c r="J96" i="2"/>
  <c r="H96" i="2"/>
  <c r="J95" i="2"/>
  <c r="H95" i="2"/>
  <c r="J94" i="2"/>
  <c r="H94" i="2"/>
  <c r="J93" i="2"/>
  <c r="H93" i="2"/>
  <c r="J92" i="2"/>
  <c r="H92" i="2"/>
  <c r="J91" i="2"/>
  <c r="H91" i="2"/>
  <c r="J90" i="2"/>
  <c r="H90" i="2"/>
  <c r="J89" i="2"/>
  <c r="H89" i="2"/>
  <c r="J88" i="2"/>
  <c r="H88" i="2"/>
  <c r="J87" i="2"/>
  <c r="H87" i="2"/>
  <c r="J86" i="2"/>
  <c r="H86" i="2"/>
  <c r="J85" i="2"/>
  <c r="H85" i="2"/>
  <c r="J84" i="2"/>
  <c r="H84" i="2"/>
  <c r="J83" i="2"/>
  <c r="H83" i="2"/>
  <c r="J82" i="2"/>
  <c r="H82" i="2"/>
  <c r="J81" i="2"/>
  <c r="H81" i="2"/>
  <c r="J80" i="2"/>
  <c r="H80" i="2"/>
  <c r="J79" i="2"/>
  <c r="H79" i="2"/>
  <c r="J78" i="2"/>
  <c r="H78" i="2"/>
  <c r="J77" i="2"/>
  <c r="H77" i="2"/>
  <c r="J76" i="2"/>
  <c r="H76" i="2"/>
  <c r="J75" i="2"/>
  <c r="H75" i="2"/>
  <c r="J74" i="2"/>
  <c r="H74" i="2"/>
  <c r="J73" i="2"/>
  <c r="H73" i="2"/>
  <c r="J72" i="2"/>
  <c r="H72" i="2"/>
  <c r="J71" i="2"/>
  <c r="H71" i="2"/>
  <c r="J70" i="2"/>
  <c r="H70" i="2"/>
  <c r="J69" i="2"/>
  <c r="H69" i="2"/>
  <c r="J68" i="2"/>
  <c r="H68" i="2"/>
  <c r="J67" i="2"/>
  <c r="H67" i="2"/>
  <c r="J66" i="2"/>
  <c r="H66" i="2"/>
  <c r="J65" i="2"/>
  <c r="H65" i="2"/>
  <c r="J64" i="2"/>
  <c r="H64" i="2"/>
  <c r="J63" i="2"/>
  <c r="H63" i="2"/>
  <c r="J62" i="2"/>
  <c r="H62" i="2"/>
  <c r="J61" i="2"/>
  <c r="H61" i="2"/>
  <c r="J60" i="2"/>
  <c r="H60" i="2"/>
  <c r="J59" i="2"/>
  <c r="H59" i="2"/>
  <c r="J58" i="2"/>
  <c r="H58" i="2"/>
  <c r="J57" i="2"/>
  <c r="H57" i="2"/>
  <c r="J56" i="2"/>
  <c r="H56" i="2"/>
  <c r="J55" i="2"/>
  <c r="H55" i="2"/>
  <c r="J54" i="2"/>
  <c r="H54" i="2"/>
  <c r="J53" i="2"/>
  <c r="H53" i="2"/>
  <c r="J52" i="2"/>
  <c r="H52" i="2"/>
  <c r="J51" i="2"/>
  <c r="H51" i="2"/>
  <c r="J50" i="2"/>
  <c r="H50" i="2"/>
  <c r="J49" i="2"/>
  <c r="H49" i="2"/>
  <c r="J48" i="2"/>
  <c r="H48" i="2"/>
  <c r="J47" i="2"/>
  <c r="H47" i="2"/>
  <c r="J46" i="2"/>
  <c r="H46" i="2"/>
  <c r="J45" i="2"/>
  <c r="H45" i="2"/>
  <c r="J44" i="2"/>
  <c r="H44" i="2"/>
  <c r="J43" i="2"/>
  <c r="H43" i="2"/>
  <c r="J42" i="2"/>
  <c r="H42" i="2"/>
  <c r="J41" i="2"/>
  <c r="H41" i="2"/>
  <c r="J40" i="2"/>
  <c r="H40" i="2"/>
  <c r="J39" i="2"/>
  <c r="H39" i="2"/>
  <c r="J38" i="2"/>
  <c r="H38" i="2"/>
  <c r="J37" i="2"/>
  <c r="H37" i="2"/>
  <c r="J36" i="2"/>
  <c r="H36" i="2"/>
  <c r="J35" i="2"/>
  <c r="J34" i="2"/>
  <c r="H34" i="2"/>
  <c r="J33" i="2"/>
  <c r="H33" i="2"/>
  <c r="J32" i="2"/>
  <c r="H32" i="2"/>
  <c r="J27" i="2"/>
  <c r="L41" i="1"/>
  <c r="N41" i="1" s="1"/>
  <c r="H41" i="14" s="1"/>
  <c r="L42" i="1"/>
  <c r="L40" i="1"/>
  <c r="N40" i="1" s="1"/>
  <c r="H40" i="14" s="1"/>
  <c r="H25" i="2" l="1"/>
  <c r="J30" i="2"/>
  <c r="H10" i="2"/>
  <c r="J26" i="2"/>
  <c r="H29" i="2"/>
  <c r="J22" i="2"/>
  <c r="H28" i="2"/>
  <c r="J17" i="2"/>
  <c r="H24" i="2"/>
  <c r="H31" i="2"/>
  <c r="H11" i="2"/>
  <c r="J15" i="2"/>
  <c r="H12" i="2"/>
  <c r="J16" i="2"/>
  <c r="H20" i="2"/>
  <c r="J23" i="2"/>
  <c r="H13" i="2"/>
  <c r="J14" i="2"/>
  <c r="J18" i="2"/>
  <c r="H21" i="2"/>
  <c r="H9" i="2"/>
  <c r="H19" i="2"/>
  <c r="B6" i="10"/>
  <c r="I15" i="10"/>
  <c r="G39" i="10"/>
  <c r="G36" i="10" s="1"/>
  <c r="J4" i="2"/>
  <c r="H10" i="10"/>
  <c r="I10" i="10" s="1"/>
  <c r="H8" i="2"/>
  <c r="F13" i="3" s="1"/>
  <c r="J8" i="2"/>
  <c r="F16" i="3" s="1"/>
  <c r="J7" i="2"/>
  <c r="J6" i="2"/>
  <c r="F3" i="10"/>
  <c r="H5" i="2"/>
  <c r="D5" i="10"/>
  <c r="F5" i="10"/>
  <c r="D3" i="10"/>
  <c r="F4" i="10"/>
  <c r="C7" i="10"/>
  <c r="C4" i="10"/>
  <c r="C8" i="10"/>
  <c r="C5" i="10"/>
  <c r="B5" i="10"/>
  <c r="B4" i="10"/>
  <c r="B7" i="10"/>
  <c r="B8" i="10"/>
  <c r="G11" i="10"/>
  <c r="G13" i="10"/>
  <c r="G6" i="10"/>
  <c r="G12" i="10"/>
  <c r="E6" i="10"/>
  <c r="E4" i="10"/>
  <c r="C3" i="10"/>
  <c r="C6" i="10"/>
  <c r="E3" i="10"/>
  <c r="G9" i="10"/>
  <c r="I9" i="10" s="1"/>
  <c r="B3" i="10"/>
  <c r="H11" i="10"/>
  <c r="H12" i="10"/>
  <c r="H13" i="10"/>
  <c r="H6" i="10"/>
  <c r="D4" i="10"/>
  <c r="D7" i="10"/>
  <c r="D8" i="10"/>
  <c r="C13" i="3"/>
  <c r="D8" i="3"/>
  <c r="C16" i="3"/>
  <c r="D9" i="3"/>
  <c r="D11" i="3" s="1"/>
  <c r="F15" i="3"/>
  <c r="D10" i="3"/>
  <c r="C14" i="3"/>
  <c r="C15" i="3"/>
  <c r="N42" i="1"/>
  <c r="H42" i="14" s="1"/>
  <c r="L3" i="1"/>
  <c r="N3" i="1" s="1"/>
  <c r="H3" i="14" s="1"/>
  <c r="L13" i="1"/>
  <c r="L31" i="1"/>
  <c r="N31" i="1" s="1"/>
  <c r="H31" i="14" s="1"/>
  <c r="L36" i="1"/>
  <c r="N36" i="1" s="1"/>
  <c r="H36" i="14" s="1"/>
  <c r="L14" i="1"/>
  <c r="N14" i="1" s="1"/>
  <c r="H14" i="14" s="1"/>
  <c r="L37" i="1"/>
  <c r="N37" i="1" s="1"/>
  <c r="H37" i="14" s="1"/>
  <c r="L9" i="1"/>
  <c r="N9" i="1" s="1"/>
  <c r="H9" i="14" s="1"/>
  <c r="L32" i="1"/>
  <c r="N32" i="1" s="1"/>
  <c r="H32" i="14" s="1"/>
  <c r="L5" i="1"/>
  <c r="N5" i="1" s="1"/>
  <c r="H5" i="14" s="1"/>
  <c r="L10" i="1"/>
  <c r="N10" i="1" s="1"/>
  <c r="H10" i="14" s="1"/>
  <c r="L11" i="1"/>
  <c r="N11" i="1" s="1"/>
  <c r="H11" i="14" s="1"/>
  <c r="L12" i="1"/>
  <c r="N12" i="1" s="1"/>
  <c r="H12" i="14" s="1"/>
  <c r="L15" i="1"/>
  <c r="N15" i="1" s="1"/>
  <c r="H15" i="14" s="1"/>
  <c r="L16" i="1"/>
  <c r="N16" i="1" s="1"/>
  <c r="H16" i="14" s="1"/>
  <c r="L20" i="1"/>
  <c r="N20" i="1" s="1"/>
  <c r="H20" i="14" s="1"/>
  <c r="L8" i="1"/>
  <c r="N8" i="1" s="1"/>
  <c r="H8" i="14" s="1"/>
  <c r="L24" i="1"/>
  <c r="N24" i="1" s="1"/>
  <c r="H24" i="14" s="1"/>
  <c r="L25" i="1"/>
  <c r="N25" i="1" s="1"/>
  <c r="H25" i="14" s="1"/>
  <c r="L27" i="1"/>
  <c r="L33" i="1"/>
  <c r="N33" i="1" s="1"/>
  <c r="H33" i="14" s="1"/>
  <c r="L39" i="1"/>
  <c r="N39" i="1" s="1"/>
  <c r="H39" i="14" s="1"/>
  <c r="L34" i="1"/>
  <c r="N34" i="1" s="1"/>
  <c r="H34" i="14" s="1"/>
  <c r="L17" i="1"/>
  <c r="N17" i="1" s="1"/>
  <c r="H17" i="14" s="1"/>
  <c r="L21" i="1"/>
  <c r="N21" i="1" s="1"/>
  <c r="H21" i="14" s="1"/>
  <c r="L38" i="1"/>
  <c r="N38" i="1" s="1"/>
  <c r="H38" i="14" s="1"/>
  <c r="L29" i="1"/>
  <c r="N29" i="1" s="1"/>
  <c r="H29" i="14" s="1"/>
  <c r="L26" i="1"/>
  <c r="N26" i="1" s="1"/>
  <c r="H26" i="14" s="1"/>
  <c r="L23" i="1"/>
  <c r="L35" i="1"/>
  <c r="L22" i="1"/>
  <c r="L30" i="1"/>
  <c r="L7" i="1"/>
  <c r="N7" i="1" s="1"/>
  <c r="H7" i="14" s="1"/>
  <c r="M9" i="3" l="1"/>
  <c r="J7" i="3"/>
  <c r="J8" i="3"/>
  <c r="J10" i="3"/>
  <c r="J12" i="3"/>
  <c r="J9" i="3"/>
  <c r="J11" i="3"/>
  <c r="G34" i="10"/>
  <c r="G35" i="10"/>
  <c r="G30" i="10"/>
  <c r="G33" i="10"/>
  <c r="G37" i="10"/>
  <c r="F14" i="10"/>
  <c r="F16" i="10" s="1"/>
  <c r="I7" i="10"/>
  <c r="V17" i="10"/>
  <c r="V18" i="10" s="1"/>
  <c r="B14" i="10"/>
  <c r="B16" i="10" s="1"/>
  <c r="I6" i="10"/>
  <c r="I12" i="10"/>
  <c r="I4" i="10"/>
  <c r="I5" i="10"/>
  <c r="I8" i="10"/>
  <c r="D14" i="10"/>
  <c r="D16" i="10" s="1"/>
  <c r="P17" i="10"/>
  <c r="P18" i="10" s="1"/>
  <c r="I3" i="10"/>
  <c r="I13" i="10"/>
  <c r="S17" i="10"/>
  <c r="S18" i="10" s="1"/>
  <c r="H14" i="10"/>
  <c r="H16" i="10" s="1"/>
  <c r="E14" i="10"/>
  <c r="E16" i="10" s="1"/>
  <c r="C14" i="10"/>
  <c r="C16" i="10" s="1"/>
  <c r="G14" i="10"/>
  <c r="G16" i="10" s="1"/>
  <c r="I11" i="10"/>
  <c r="N30" i="1"/>
  <c r="H30" i="14" s="1"/>
  <c r="F39" i="10"/>
  <c r="F30" i="10" s="1"/>
  <c r="N13" i="1"/>
  <c r="H13" i="14" s="1"/>
  <c r="B39" i="10"/>
  <c r="N22" i="1"/>
  <c r="H22" i="14" s="1"/>
  <c r="D39" i="10"/>
  <c r="N35" i="1"/>
  <c r="H35" i="14" s="1"/>
  <c r="H39" i="10"/>
  <c r="N27" i="1"/>
  <c r="H27" i="14" s="1"/>
  <c r="J89" i="1"/>
  <c r="N23" i="1"/>
  <c r="H23" i="14" s="1"/>
  <c r="L6" i="1"/>
  <c r="N6" i="1" s="1"/>
  <c r="H6" i="14" s="1"/>
  <c r="J13" i="3" l="1"/>
  <c r="G38" i="10"/>
  <c r="G40" i="10" s="1"/>
  <c r="H37" i="10"/>
  <c r="I37" i="10" s="1"/>
  <c r="H35" i="10"/>
  <c r="I35" i="10" s="1"/>
  <c r="H36" i="10"/>
  <c r="I36" i="10" s="1"/>
  <c r="H30" i="10"/>
  <c r="D28" i="10"/>
  <c r="D31" i="10"/>
  <c r="D32" i="10"/>
  <c r="B28" i="10"/>
  <c r="B31" i="10"/>
  <c r="B32" i="10"/>
  <c r="I16" i="10"/>
  <c r="I14" i="10"/>
  <c r="H34" i="10"/>
  <c r="I34" i="10" s="1"/>
  <c r="H33" i="10"/>
  <c r="I33" i="10" s="1"/>
  <c r="D30" i="10"/>
  <c r="D29" i="10"/>
  <c r="D27" i="10"/>
  <c r="B30" i="10"/>
  <c r="B29" i="10"/>
  <c r="B27" i="10"/>
  <c r="F29" i="10"/>
  <c r="F28" i="10"/>
  <c r="F27" i="10"/>
  <c r="L19" i="1"/>
  <c r="L28" i="1"/>
  <c r="K89" i="1"/>
  <c r="F38" i="10" l="1"/>
  <c r="F40" i="10" s="1"/>
  <c r="D38" i="10"/>
  <c r="D40" i="10" s="1"/>
  <c r="H38" i="10"/>
  <c r="H40" i="10" s="1"/>
  <c r="N28" i="1"/>
  <c r="H28" i="14" s="1"/>
  <c r="E39" i="10"/>
  <c r="E30" i="10" s="1"/>
  <c r="N19" i="1"/>
  <c r="C39" i="10"/>
  <c r="B38" i="10"/>
  <c r="L89" i="1"/>
  <c r="B5" i="7" l="1" a="1"/>
  <c r="N21" i="7" s="1"/>
  <c r="H19" i="14"/>
  <c r="I39" i="10"/>
  <c r="C31" i="10"/>
  <c r="I31" i="10" s="1"/>
  <c r="C28" i="10"/>
  <c r="C32" i="10"/>
  <c r="B40" i="10"/>
  <c r="I32" i="10"/>
  <c r="C30" i="10"/>
  <c r="C29" i="10"/>
  <c r="C27" i="10"/>
  <c r="E29" i="10"/>
  <c r="E28" i="10"/>
  <c r="E27" i="10"/>
  <c r="N89" i="1"/>
  <c r="A2" i="8" s="1" a="1"/>
  <c r="A2" i="8" s="1"/>
  <c r="B5" i="7" l="1"/>
  <c r="A5" i="7" s="1" a="1"/>
  <c r="A5" i="7" s="1"/>
  <c r="E38" i="10"/>
  <c r="E40" i="10" s="1"/>
  <c r="C38" i="10"/>
  <c r="I27" i="10"/>
  <c r="I28" i="10"/>
  <c r="I29" i="10"/>
  <c r="I30" i="10"/>
  <c r="I38" i="10" l="1"/>
  <c r="C40" i="10"/>
  <c r="I40" i="10" s="1"/>
  <c r="C16" i="11"/>
  <c r="D16" i="11"/>
  <c r="E16" i="1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<sst xmlns="http://schemas.openxmlformats.org/spreadsheetml/2006/main" count="648" uniqueCount="213">
  <si>
    <t>1st</t>
  </si>
  <si>
    <t>2nd</t>
  </si>
  <si>
    <t>8th</t>
  </si>
  <si>
    <t>5th</t>
  </si>
  <si>
    <t>6th</t>
  </si>
  <si>
    <t>3rd</t>
  </si>
  <si>
    <t>10th</t>
  </si>
  <si>
    <t>4th</t>
  </si>
  <si>
    <t>7th</t>
  </si>
  <si>
    <t>9th</t>
  </si>
  <si>
    <t>11th</t>
  </si>
  <si>
    <t>12th</t>
  </si>
  <si>
    <t>Date :</t>
  </si>
  <si>
    <t>Student Name:</t>
  </si>
  <si>
    <t>Class:</t>
  </si>
  <si>
    <t>Fee</t>
  </si>
  <si>
    <t>Total</t>
  </si>
  <si>
    <t>Gendar</t>
  </si>
  <si>
    <t>Mobile no</t>
  </si>
  <si>
    <t>Address</t>
  </si>
  <si>
    <t>Now Remaining</t>
  </si>
  <si>
    <t>Deposit</t>
  </si>
  <si>
    <t>Total Deposit</t>
  </si>
  <si>
    <t>Discount</t>
  </si>
  <si>
    <t>KNowledge Point Tution Class</t>
  </si>
  <si>
    <t>KNowledge Point</t>
  </si>
  <si>
    <t>Totale Remaining</t>
  </si>
  <si>
    <t>Payable FEE</t>
  </si>
  <si>
    <t>Class</t>
  </si>
  <si>
    <t>Sr. No.</t>
  </si>
  <si>
    <t>Total Fee</t>
  </si>
  <si>
    <t>Date</t>
  </si>
  <si>
    <t>School's Name</t>
  </si>
  <si>
    <t>Previous Result</t>
  </si>
  <si>
    <t>Student's Name</t>
  </si>
  <si>
    <t>Annual Fee</t>
  </si>
  <si>
    <t>K.G.</t>
  </si>
  <si>
    <t>Claas</t>
  </si>
  <si>
    <t>Payable Fee</t>
  </si>
  <si>
    <t>Old Remaining Fee</t>
  </si>
  <si>
    <t>Ayan Gaffarbhai Selot</t>
  </si>
  <si>
    <t>Boy</t>
  </si>
  <si>
    <t>M.A. Meer</t>
  </si>
  <si>
    <t>Nafiskhan Iqbalkhan Pathan</t>
  </si>
  <si>
    <t>Hodi Bangla</t>
  </si>
  <si>
    <t>Parvez Aspak Mandaviya</t>
  </si>
  <si>
    <t>Al Karam Appt.</t>
  </si>
  <si>
    <t>Ajaz Umarji Appt.</t>
  </si>
  <si>
    <t>7/821, Noori Mohalla</t>
  </si>
  <si>
    <t>Girl</t>
  </si>
  <si>
    <t>Bag E Mohammad Appt.</t>
  </si>
  <si>
    <t>Mo.Abdan Shakil Mansuri</t>
  </si>
  <si>
    <t>Mo.Ali Jafar Shaikh</t>
  </si>
  <si>
    <t>146, Nasir Nagar</t>
  </si>
  <si>
    <t>Anglo</t>
  </si>
  <si>
    <t>Mo.Shakib Afzal Hussain Pathan</t>
  </si>
  <si>
    <t>7/1125, Al Rauf Manzil</t>
  </si>
  <si>
    <t>Mo.Sahezan Yusufbhai Kureshi</t>
  </si>
  <si>
    <t>T.&amp;T.V.</t>
  </si>
  <si>
    <t>Farhan Akhtar Yusufbhai Kureshi</t>
  </si>
  <si>
    <t>Nuresaba Javidgulam Shaikh</t>
  </si>
  <si>
    <t>402, Kazi Appt. Petrol Pump</t>
  </si>
  <si>
    <t>Ambaba</t>
  </si>
  <si>
    <t>Aaisha Begam Aabidali Saiyed</t>
  </si>
  <si>
    <t>204,Asma Manzil, Lokhat</t>
  </si>
  <si>
    <t>Munavvar Mujaffar Shaikh</t>
  </si>
  <si>
    <t>7/1687,Kalaigar Wad,Tunki</t>
  </si>
  <si>
    <t>Zarminbanu Abdul Zahir Battiwala</t>
  </si>
  <si>
    <t>7/877-878,Noori Mohalla</t>
  </si>
  <si>
    <t>Maliha Banu Mo.Juned Fanibandha</t>
  </si>
  <si>
    <t>Noori Mohalla</t>
  </si>
  <si>
    <t>Mohammad Irfan Abduljalil Kharadi</t>
  </si>
  <si>
    <t>7/4440,Kharadi Sheri</t>
  </si>
  <si>
    <t>Mariyam Banu Mo.Juned Fanibandha</t>
  </si>
  <si>
    <t>Ayasha Azhruddin Shaikh</t>
  </si>
  <si>
    <t>893/3,Noori Mohalla</t>
  </si>
  <si>
    <t>Bai P.M. Patel</t>
  </si>
  <si>
    <t>V.T. Choksi</t>
  </si>
  <si>
    <t>Komal Vijaybhai Bhavekar</t>
  </si>
  <si>
    <t>7/973,Kajipura</t>
  </si>
  <si>
    <t>Mahidharpura Arban</t>
  </si>
  <si>
    <t>Firdos Banu Abdul Naim Shaikh</t>
  </si>
  <si>
    <t>148,Nasir Nagar</t>
  </si>
  <si>
    <t>Heena Vijaybhai Bhavekar</t>
  </si>
  <si>
    <t>Mo.Umar Jafar Shaikh</t>
  </si>
  <si>
    <t>Saima Mujehit Shiekh</t>
  </si>
  <si>
    <t>Embassy Hotel,Lal Darwaja</t>
  </si>
  <si>
    <t>Kinjal Vujaybhai Bhavekar</t>
  </si>
  <si>
    <t>Jar Ardeshar Chinivala</t>
  </si>
  <si>
    <t>Ankit Sanmukhbhai Solanki</t>
  </si>
  <si>
    <t>7/1133, Kankarya Mohalla</t>
  </si>
  <si>
    <t>Mohammed Fahad Mo.Iqbal Pittalwala</t>
  </si>
  <si>
    <t>7/2288-89,Noori Mohalla</t>
  </si>
  <si>
    <t>Mujaddid Alfesani</t>
  </si>
  <si>
    <t>Fayeza Banu Naim Shaikh</t>
  </si>
  <si>
    <t>Tanishka Vijaybhai Bhavekar</t>
  </si>
  <si>
    <t>Ajmeri Park Savera Appt.</t>
  </si>
  <si>
    <t>Juvariyyah Ilyas Patel</t>
  </si>
  <si>
    <t>201, Gujarat Mension</t>
  </si>
  <si>
    <t>Ilshabanu Yusuf Ahmad Khan</t>
  </si>
  <si>
    <t>Pastagiya Sheri</t>
  </si>
  <si>
    <t>Mahenoor Raufbhai Dhariwala</t>
  </si>
  <si>
    <t>303,Sohel Palace</t>
  </si>
  <si>
    <t>Prince Sanjaybhai Subedar</t>
  </si>
  <si>
    <t>Miyanjini Wadi</t>
  </si>
  <si>
    <t>P.A. Bhagat</t>
  </si>
  <si>
    <t>Arman Mujehit Shaikh</t>
  </si>
  <si>
    <t>Mashira Mo.Juned Fanibandha</t>
  </si>
  <si>
    <t>Zaynab Ilyas Patel</t>
  </si>
  <si>
    <t>Mariya Mo.Juned Fanibandha</t>
  </si>
  <si>
    <t>Shahid Zuber Shaikh</t>
  </si>
  <si>
    <t>Adnan Zuber Shaikh</t>
  </si>
  <si>
    <t>Humera Zuber Shaikh</t>
  </si>
  <si>
    <t>filter</t>
  </si>
  <si>
    <t>Mahek Khatun Jahirul Hasan Khan</t>
  </si>
  <si>
    <t>Mobile No. :</t>
  </si>
  <si>
    <t>Invoice No. :</t>
  </si>
  <si>
    <t>Old Remainig Fee</t>
  </si>
  <si>
    <t>Deposit Fee</t>
  </si>
  <si>
    <t>Total Deposit Fee</t>
  </si>
  <si>
    <t>Now Remaining Fee</t>
  </si>
  <si>
    <t>Aafiya Bibi Mo. Majid Shaikh</t>
  </si>
  <si>
    <t>C-312, Rubi Complex</t>
  </si>
  <si>
    <t>Rajiuddin Rafiuddin Shaikh</t>
  </si>
  <si>
    <t>19, Lala Flour Building Rampura</t>
  </si>
  <si>
    <t>Abuzar Afzal Khan</t>
  </si>
  <si>
    <t>189, fulwadi</t>
  </si>
  <si>
    <t>Smit Sureshbhai Solanki</t>
  </si>
  <si>
    <t>Rabiya Mustakbhai Solanki</t>
  </si>
  <si>
    <t>4th Floor Patel Memsion</t>
  </si>
  <si>
    <t>7/1133, Lal Miya Masjid</t>
  </si>
  <si>
    <t>Note</t>
  </si>
  <si>
    <t>Count</t>
  </si>
  <si>
    <t>Mode</t>
  </si>
  <si>
    <t>Cash</t>
  </si>
  <si>
    <t xml:space="preserve">  7/877 - 878, Near dargah, Noori Mohalla, Rampura, Surat.    Contact No.999847778</t>
  </si>
  <si>
    <t>Math's</t>
  </si>
  <si>
    <t>Science</t>
  </si>
  <si>
    <t>S.S.</t>
  </si>
  <si>
    <t>English</t>
  </si>
  <si>
    <t>Gujarati</t>
  </si>
  <si>
    <t>Hindi</t>
  </si>
  <si>
    <t>A/C</t>
  </si>
  <si>
    <t>State</t>
  </si>
  <si>
    <t>Eco.</t>
  </si>
  <si>
    <t>B.A.</t>
  </si>
  <si>
    <t>Advisery</t>
  </si>
  <si>
    <t>Remaining</t>
  </si>
  <si>
    <t>Total Salary</t>
  </si>
  <si>
    <t>Asad Imran Shaikh</t>
  </si>
  <si>
    <t>Latif sir</t>
  </si>
  <si>
    <t>Utsav sir</t>
  </si>
  <si>
    <t>Expected</t>
  </si>
  <si>
    <t>Pay Amount</t>
  </si>
  <si>
    <t>Total Pay</t>
  </si>
  <si>
    <t>Payable</t>
  </si>
  <si>
    <t>Jaanmohammad sir</t>
  </si>
  <si>
    <t>Total Income</t>
  </si>
  <si>
    <t>Payment Mode</t>
  </si>
  <si>
    <t>7/780,Noori Mohalla,Rampura</t>
  </si>
  <si>
    <t>Mohammad Aashir Khursidhusen Shaikh</t>
  </si>
  <si>
    <t>Aatif Aiyub Choksi</t>
  </si>
  <si>
    <t>Umar Munavvar Hussainn Mansuri</t>
  </si>
  <si>
    <t>Juned Bhohariya</t>
  </si>
  <si>
    <t>Aamir Shaikh</t>
  </si>
  <si>
    <t>Total fee</t>
  </si>
  <si>
    <t>1-floor, gurudev apparment, noori mahhalo</t>
  </si>
  <si>
    <t>shree sanjivkumar</t>
  </si>
  <si>
    <t>Aahil abidbhai kureshi</t>
  </si>
  <si>
    <t>Misbabanu Ismailmiya Malek</t>
  </si>
  <si>
    <t>Aliya Faiz mohammad Chichi</t>
  </si>
  <si>
    <t>12/881, marhaba building, rani taluo, khatkiwad</t>
  </si>
  <si>
    <t>P.M patel</t>
  </si>
  <si>
    <t>Hajra Faiz mohammad Chichi</t>
  </si>
  <si>
    <t>501, mohammad palace, tuki sheri, rampura</t>
  </si>
  <si>
    <t>b.l.jariwala</t>
  </si>
  <si>
    <t>Alimabanu Mohammad Azam Khan</t>
  </si>
  <si>
    <t>Inaya Mohammad Azam Khan</t>
  </si>
  <si>
    <t>Halima Rafik shaikh</t>
  </si>
  <si>
    <t>472, fulwadi, bharimata road, surat</t>
  </si>
  <si>
    <t>A.A chakkwala</t>
  </si>
  <si>
    <t xml:space="preserve">Mo. Nawaz mo. Irfan Shaikh </t>
  </si>
  <si>
    <t>7/855, Rampura noori mahollo</t>
  </si>
  <si>
    <t>Aglo</t>
  </si>
  <si>
    <t>Ujefa Yasinbhai Selot</t>
  </si>
  <si>
    <t>Dr. Amichand shah</t>
  </si>
  <si>
    <t>Samir Rahimbhai Mahetar</t>
  </si>
  <si>
    <t>Kadiya sheri Rampura</t>
  </si>
  <si>
    <t>Mohammad Sarfaraj Rajakbhai Bilakhya</t>
  </si>
  <si>
    <t>A/302, alfal biulding, Lalmiya pase rampura</t>
  </si>
  <si>
    <t>Jivan bharti</t>
  </si>
  <si>
    <t>Mohammad Mahir Zahir Multani</t>
  </si>
  <si>
    <t>7/4042, Laldarwaja surat</t>
  </si>
  <si>
    <t>Online</t>
  </si>
  <si>
    <t>Humaira Ilyas Lakkad</t>
  </si>
  <si>
    <t>Ali Altafbhai Motiyani</t>
  </si>
  <si>
    <t>Madina Palace</t>
  </si>
  <si>
    <t>Cheque</t>
  </si>
  <si>
    <t>Amount</t>
  </si>
  <si>
    <t>Details</t>
  </si>
  <si>
    <t>Transaction Type</t>
  </si>
  <si>
    <t>UPI</t>
  </si>
  <si>
    <t>Muskan Teacher's June Salary</t>
  </si>
  <si>
    <t>Total Expense</t>
  </si>
  <si>
    <t>Union High School</t>
  </si>
  <si>
    <t>I.C. Gandhi High School</t>
  </si>
  <si>
    <t>Dudhara Sheri</t>
  </si>
  <si>
    <t>Lal Darwaja</t>
  </si>
  <si>
    <t>Gujarat Mension</t>
  </si>
  <si>
    <t>Lilaba</t>
  </si>
  <si>
    <t>Tunki</t>
  </si>
  <si>
    <t>massage</t>
  </si>
  <si>
    <t>PDF 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</si>
</sst>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409]d\-mmm;@"/>
    <numFmt numFmtId="166" formatCode="\+\9\10"/>
  </numFmts>
  <fonts count="35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36"/>
      <color theme="9" tint="-0.24994659260841701"/>
      <name val="Aptos Narrow"/>
      <family val="2"/>
      <scheme val="minor"/>
    </font>
    <font>
      <sz val="20"/>
      <color theme="9" tint="-0.2499465926084170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28"/>
      <color theme="9" tint="-0.24994659260841701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8"/>
      <color theme="9" tint="-0.24994659260841701"/>
      <name val="Microsoft New Tai Lue"/>
      <family val="2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40"/>
      <color theme="9" tint="-0.24994659260841701"/>
      <name val="Times New Roman"/>
      <family val="1"/>
    </font>
    <font>
      <sz val="11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b/>
      <sz val="14"/>
      <color theme="1"/>
      <name val="Calibri"/>
      <family val="2"/>
    </font>
    <font>
      <sz val="11"/>
      <color theme="1"/>
      <name val="Aptos Narrow"/>
      <family val="2"/>
      <scheme val="minor"/>
    </font>
    <font>
      <sz val="18"/>
      <name val="Aptos Narrow"/>
      <family val="2"/>
      <scheme val="minor"/>
    </font>
    <font>
      <b/>
      <sz val="15"/>
      <color theme="1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1"/>
      <color theme="1"/>
      <name val="Aptos Narrow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scheme val="minor"/>
    </font>
    <font>
      <u/>
      <sz val="16"/>
      <color theme="1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medium">
        <color auto="1"/>
      </bottom>
      <diagonal/>
    </border>
    <border>
      <left/>
      <right style="medium">
        <color auto="1"/>
      </right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25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269">
    <xf numFmtId="0" fontId="0" fillId="0" borderId="0" xfId="0"/>
    <xf numFmtId="2" fontId="0" fillId="0" borderId="0" xfId="0" applyNumberFormat="1"/>
    <xf numFmtId="0" fontId="0" fillId="0" borderId="5" xfId="0" applyBorder="1"/>
    <xf numFmtId="0" fontId="0" fillId="0" borderId="7" xfId="0" applyBorder="1"/>
    <xf numFmtId="0" fontId="0" fillId="0" borderId="0" xfId="0" applyAlignment="1">
      <alignment vertical="top"/>
    </xf>
    <xf numFmtId="0" fontId="2" fillId="0" borderId="0" xfId="0" applyFont="1" applyAlignment="1">
      <alignment vertical="center" wrapText="1"/>
    </xf>
    <xf numFmtId="0" fontId="6" fillId="0" borderId="0" xfId="0" applyFont="1"/>
    <xf numFmtId="0" fontId="7" fillId="0" borderId="0" xfId="0" applyFont="1" applyAlignment="1">
      <alignment vertical="center" wrapText="1"/>
    </xf>
    <xf numFmtId="0" fontId="4" fillId="0" borderId="0" xfId="0" applyFont="1" applyAlignment="1">
      <alignment vertical="top"/>
    </xf>
    <xf numFmtId="14" fontId="0" fillId="0" borderId="0" xfId="0" applyNumberFormat="1" applyAlignment="1">
      <alignment vertical="top"/>
    </xf>
    <xf numFmtId="0" fontId="0" fillId="0" borderId="0" xfId="0" applyProtection="1">
      <protection locked="0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12" fillId="0" borderId="0" xfId="0" applyNumberFormat="1" applyFont="1" applyAlignment="1">
      <alignment vertical="center"/>
    </xf>
    <xf numFmtId="0" fontId="11" fillId="0" borderId="0" xfId="0" applyFont="1"/>
    <xf numFmtId="0" fontId="13" fillId="0" borderId="0" xfId="0" applyFont="1" applyAlignment="1">
      <alignment vertical="center"/>
    </xf>
    <xf numFmtId="0" fontId="12" fillId="0" borderId="0" xfId="0" applyFont="1" applyAlignment="1" applyProtection="1">
      <alignment vertical="center"/>
      <protection locked="0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0" borderId="23" xfId="0" applyBorder="1"/>
    <xf numFmtId="0" fontId="0" fillId="0" borderId="22" xfId="0" applyBorder="1"/>
    <xf numFmtId="0" fontId="17" fillId="2" borderId="26" xfId="0" applyFont="1" applyFill="1" applyBorder="1" applyAlignment="1" applyProtection="1">
      <alignment horizontal="center" vertical="center"/>
      <protection locked="0"/>
    </xf>
    <xf numFmtId="0" fontId="18" fillId="2" borderId="26" xfId="0" applyFont="1" applyFill="1" applyBorder="1" applyAlignment="1" applyProtection="1">
      <alignment horizontal="center" vertical="center"/>
      <protection locked="0"/>
    </xf>
    <xf numFmtId="0" fontId="16" fillId="2" borderId="11" xfId="0" applyFont="1" applyFill="1" applyBorder="1" applyAlignment="1" applyProtection="1">
      <alignment horizontal="center" vertical="center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49" fontId="16" fillId="0" borderId="8" xfId="0" applyNumberFormat="1" applyFont="1" applyBorder="1" applyAlignment="1" applyProtection="1">
      <alignment horizontal="left" vertical="top"/>
      <protection locked="0"/>
    </xf>
    <xf numFmtId="49" fontId="16" fillId="0" borderId="8" xfId="0" applyNumberFormat="1" applyFont="1" applyBorder="1" applyAlignment="1" applyProtection="1">
      <alignment horizontal="center" vertical="top"/>
      <protection locked="0"/>
    </xf>
    <xf numFmtId="14" fontId="16" fillId="0" borderId="8" xfId="0" applyNumberFormat="1" applyFont="1" applyBorder="1" applyAlignment="1" applyProtection="1">
      <alignment horizontal="center" vertical="top"/>
      <protection locked="0"/>
    </xf>
    <xf numFmtId="164" fontId="16" fillId="0" borderId="8" xfId="0" applyNumberFormat="1" applyFont="1" applyBorder="1" applyAlignment="1" applyProtection="1">
      <alignment horizontal="left" vertical="top"/>
      <protection locked="0"/>
    </xf>
    <xf numFmtId="0" fontId="16" fillId="0" borderId="8" xfId="0" applyFont="1" applyBorder="1" applyAlignment="1" applyProtection="1">
      <alignment horizontal="left" vertical="top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49" fontId="20" fillId="0" borderId="0" xfId="0" applyNumberFormat="1" applyFont="1" applyAlignment="1" applyProtection="1">
      <alignment horizontal="center" vertical="top"/>
      <protection locked="0"/>
    </xf>
    <xf numFmtId="14" fontId="20" fillId="0" borderId="0" xfId="0" applyNumberFormat="1" applyFont="1" applyAlignment="1" applyProtection="1">
      <alignment horizontal="center" vertical="top"/>
      <protection locked="0"/>
    </xf>
    <xf numFmtId="164" fontId="20" fillId="0" borderId="0" xfId="0" applyNumberFormat="1" applyFont="1" applyAlignment="1" applyProtection="1">
      <alignment horizontal="left" vertical="top" wrapText="1"/>
      <protection locked="0"/>
    </xf>
    <xf numFmtId="0" fontId="20" fillId="0" borderId="0" xfId="0" applyFont="1" applyAlignment="1" applyProtection="1">
      <alignment horizontal="left" vertical="top"/>
      <protection locked="0"/>
    </xf>
    <xf numFmtId="0" fontId="21" fillId="2" borderId="19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4" fillId="0" borderId="18" xfId="0" applyFont="1" applyBorder="1" applyAlignment="1">
      <alignment horizontal="center"/>
    </xf>
    <xf numFmtId="49" fontId="20" fillId="0" borderId="0" xfId="0" applyNumberFormat="1" applyFont="1" applyAlignment="1" applyProtection="1">
      <alignment horizontal="left" vertical="top"/>
      <protection locked="0"/>
    </xf>
    <xf numFmtId="164" fontId="20" fillId="0" borderId="0" xfId="0" applyNumberFormat="1" applyFont="1" applyAlignment="1" applyProtection="1">
      <alignment horizontal="left" vertical="top"/>
      <protection locked="0"/>
    </xf>
    <xf numFmtId="0" fontId="21" fillId="2" borderId="20" xfId="0" applyFont="1" applyFill="1" applyBorder="1" applyAlignment="1">
      <alignment horizontal="center"/>
    </xf>
    <xf numFmtId="0" fontId="21" fillId="2" borderId="10" xfId="0" applyFont="1" applyFill="1" applyBorder="1" applyAlignment="1">
      <alignment horizontal="center"/>
    </xf>
    <xf numFmtId="0" fontId="24" fillId="0" borderId="11" xfId="0" applyFont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0" fillId="0" borderId="0" xfId="0" applyAlignment="1">
      <alignment vertical="center"/>
    </xf>
    <xf numFmtId="49" fontId="18" fillId="2" borderId="26" xfId="0" applyNumberFormat="1" applyFont="1" applyFill="1" applyBorder="1" applyAlignment="1" applyProtection="1">
      <alignment horizontal="center" vertical="center"/>
      <protection locked="0"/>
    </xf>
    <xf numFmtId="14" fontId="18" fillId="2" borderId="26" xfId="0" applyNumberFormat="1" applyFont="1" applyFill="1" applyBorder="1" applyAlignment="1" applyProtection="1">
      <alignment horizontal="center" vertical="center"/>
      <protection locked="0"/>
    </xf>
    <xf numFmtId="164" fontId="18" fillId="2" borderId="26" xfId="0" applyNumberFormat="1" applyFont="1" applyFill="1" applyBorder="1" applyAlignment="1" applyProtection="1">
      <alignment horizontal="center" vertical="center"/>
      <protection locked="0"/>
    </xf>
    <xf numFmtId="2" fontId="18" fillId="2" borderId="26" xfId="0" applyNumberFormat="1" applyFon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2" fontId="0" fillId="0" borderId="8" xfId="0" applyNumberFormat="1" applyBorder="1" applyAlignment="1" applyProtection="1">
      <alignment horizontal="center"/>
      <protection locked="0"/>
    </xf>
    <xf numFmtId="0" fontId="14" fillId="0" borderId="19" xfId="0" applyFont="1" applyBorder="1"/>
    <xf numFmtId="0" fontId="3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20" fillId="0" borderId="0" xfId="0" applyFont="1" applyAlignment="1" applyProtection="1">
      <alignment vertical="center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top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164" fontId="0" fillId="0" borderId="0" xfId="0" applyNumberFormat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8" xfId="0" applyBorder="1" applyProtection="1">
      <protection locked="0"/>
    </xf>
    <xf numFmtId="0" fontId="16" fillId="2" borderId="10" xfId="0" applyFont="1" applyFill="1" applyBorder="1" applyAlignment="1" applyProtection="1">
      <alignment horizontal="center" vertical="center"/>
      <protection locked="0"/>
    </xf>
    <xf numFmtId="0" fontId="0" fillId="0" borderId="4" xfId="0" applyBorder="1" applyProtection="1">
      <protection locked="0"/>
    </xf>
    <xf numFmtId="0" fontId="14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0" fontId="13" fillId="0" borderId="12" xfId="0" applyFont="1" applyBorder="1" applyAlignment="1">
      <alignment horizontal="left" vertical="center"/>
    </xf>
    <xf numFmtId="0" fontId="0" fillId="4" borderId="1" xfId="0" applyFill="1" applyBorder="1" applyAlignment="1">
      <alignment horizontal="center"/>
    </xf>
    <xf numFmtId="0" fontId="18" fillId="2" borderId="26" xfId="1" applyNumberFormat="1" applyFont="1" applyFill="1" applyBorder="1" applyAlignment="1" applyProtection="1">
      <alignment horizontal="center" vertical="center"/>
      <protection locked="0"/>
    </xf>
    <xf numFmtId="0" fontId="20" fillId="0" borderId="0" xfId="1" applyNumberFormat="1" applyFont="1" applyAlignment="1" applyProtection="1">
      <alignment horizontal="center" vertical="center"/>
      <protection locked="0"/>
    </xf>
    <xf numFmtId="0" fontId="19" fillId="0" borderId="8" xfId="1" applyNumberFormat="1" applyFont="1" applyBorder="1" applyAlignment="1" applyProtection="1">
      <alignment horizontal="center" vertical="center"/>
      <protection locked="0"/>
    </xf>
    <xf numFmtId="0" fontId="0" fillId="0" borderId="0" xfId="1" applyNumberFormat="1" applyFont="1" applyAlignment="1" applyProtection="1">
      <alignment horizontal="center" vertical="center"/>
      <protection locked="0"/>
    </xf>
    <xf numFmtId="0" fontId="11" fillId="0" borderId="4" xfId="0" applyFont="1" applyBorder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5" fillId="0" borderId="0" xfId="0" applyFont="1"/>
    <xf numFmtId="0" fontId="13" fillId="0" borderId="0" xfId="0" applyFont="1" applyAlignment="1">
      <alignment horizontal="left" vertical="center"/>
    </xf>
    <xf numFmtId="0" fontId="11" fillId="0" borderId="34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34" xfId="0" applyFont="1" applyBorder="1" applyAlignment="1">
      <alignment horizontal="center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>
      <alignment horizontal="left" vertical="top"/>
    </xf>
    <xf numFmtId="0" fontId="13" fillId="0" borderId="0" xfId="0" applyFont="1" applyAlignment="1">
      <alignment horizontal="left"/>
    </xf>
    <xf numFmtId="0" fontId="11" fillId="0" borderId="27" xfId="0" applyFont="1" applyBorder="1" applyAlignment="1">
      <alignment horizontal="center" vertical="center" wrapText="1"/>
    </xf>
    <xf numFmtId="0" fontId="14" fillId="0" borderId="33" xfId="0" applyFont="1" applyBorder="1" applyAlignment="1">
      <alignment horizontal="center" vertical="center" wrapText="1"/>
    </xf>
    <xf numFmtId="0" fontId="14" fillId="0" borderId="32" xfId="0" applyFont="1" applyBorder="1" applyAlignment="1">
      <alignment horizontal="center" vertical="center" wrapText="1"/>
    </xf>
    <xf numFmtId="0" fontId="26" fillId="0" borderId="35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8" fillId="0" borderId="37" xfId="0" applyFont="1" applyBorder="1"/>
    <xf numFmtId="0" fontId="11" fillId="0" borderId="38" xfId="0" applyFont="1" applyBorder="1"/>
    <xf numFmtId="14" fontId="0" fillId="0" borderId="0" xfId="0" applyNumberFormat="1"/>
    <xf numFmtId="0" fontId="0" fillId="0" borderId="1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37" xfId="0" applyBorder="1"/>
    <xf numFmtId="0" fontId="0" fillId="0" borderId="26" xfId="0" applyBorder="1"/>
    <xf numFmtId="0" fontId="0" fillId="0" borderId="42" xfId="0" applyBorder="1"/>
    <xf numFmtId="0" fontId="0" fillId="0" borderId="32" xfId="0" applyBorder="1"/>
    <xf numFmtId="0" fontId="0" fillId="0" borderId="17" xfId="0" applyBorder="1"/>
    <xf numFmtId="0" fontId="0" fillId="0" borderId="19" xfId="0" applyBorder="1"/>
    <xf numFmtId="0" fontId="0" fillId="4" borderId="44" xfId="0" applyFill="1" applyBorder="1"/>
    <xf numFmtId="0" fontId="0" fillId="0" borderId="48" xfId="0" applyBorder="1"/>
    <xf numFmtId="0" fontId="0" fillId="0" borderId="38" xfId="0" applyBorder="1"/>
    <xf numFmtId="0" fontId="1" fillId="7" borderId="19" xfId="0" applyFont="1" applyFill="1" applyBorder="1"/>
    <xf numFmtId="0" fontId="1" fillId="7" borderId="1" xfId="0" applyFont="1" applyFill="1" applyBorder="1"/>
    <xf numFmtId="0" fontId="1" fillId="7" borderId="17" xfId="0" applyFont="1" applyFill="1" applyBorder="1"/>
    <xf numFmtId="0" fontId="0" fillId="5" borderId="46" xfId="0" applyFill="1" applyBorder="1"/>
    <xf numFmtId="0" fontId="0" fillId="7" borderId="19" xfId="0" applyFill="1" applyBorder="1"/>
    <xf numFmtId="0" fontId="0" fillId="7" borderId="1" xfId="0" applyFill="1" applyBorder="1"/>
    <xf numFmtId="0" fontId="0" fillId="7" borderId="32" xfId="0" applyFill="1" applyBorder="1"/>
    <xf numFmtId="0" fontId="0" fillId="7" borderId="45" xfId="0" applyFill="1" applyBorder="1"/>
    <xf numFmtId="0" fontId="0" fillId="8" borderId="37" xfId="0" applyFill="1" applyBorder="1"/>
    <xf numFmtId="0" fontId="0" fillId="8" borderId="26" xfId="0" applyFill="1" applyBorder="1"/>
    <xf numFmtId="0" fontId="0" fillId="8" borderId="42" xfId="0" applyFill="1" applyBorder="1"/>
    <xf numFmtId="0" fontId="0" fillId="8" borderId="38" xfId="0" applyFill="1" applyBorder="1"/>
    <xf numFmtId="0" fontId="0" fillId="8" borderId="50" xfId="0" applyFill="1" applyBorder="1"/>
    <xf numFmtId="0" fontId="1" fillId="7" borderId="51" xfId="0" applyFont="1" applyFill="1" applyBorder="1"/>
    <xf numFmtId="0" fontId="1" fillId="7" borderId="49" xfId="0" applyFont="1" applyFill="1" applyBorder="1"/>
    <xf numFmtId="0" fontId="0" fillId="9" borderId="19" xfId="0" applyFill="1" applyBorder="1"/>
    <xf numFmtId="0" fontId="0" fillId="9" borderId="27" xfId="0" applyFill="1" applyBorder="1"/>
    <xf numFmtId="0" fontId="0" fillId="9" borderId="32" xfId="0" applyFill="1" applyBorder="1"/>
    <xf numFmtId="0" fontId="0" fillId="7" borderId="1" xfId="0" applyFill="1" applyBorder="1" applyAlignment="1">
      <alignment horizontal="center" vertical="center"/>
    </xf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7" borderId="52" xfId="0" applyFill="1" applyBorder="1" applyAlignment="1">
      <alignment horizontal="center" vertical="center"/>
    </xf>
    <xf numFmtId="0" fontId="0" fillId="10" borderId="46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10" borderId="50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55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9" fillId="11" borderId="3" xfId="0" applyFont="1" applyFill="1" applyBorder="1"/>
    <xf numFmtId="0" fontId="0" fillId="9" borderId="28" xfId="0" applyFill="1" applyBorder="1"/>
    <xf numFmtId="0" fontId="0" fillId="9" borderId="56" xfId="0" applyFill="1" applyBorder="1"/>
    <xf numFmtId="0" fontId="1" fillId="9" borderId="51" xfId="0" applyFont="1" applyFill="1" applyBorder="1"/>
    <xf numFmtId="0" fontId="1" fillId="7" borderId="50" xfId="0" applyFont="1" applyFill="1" applyBorder="1"/>
    <xf numFmtId="14" fontId="12" fillId="0" borderId="0" xfId="0" applyNumberFormat="1" applyFont="1" applyBorder="1" applyAlignment="1">
      <alignment vertical="center"/>
    </xf>
    <xf numFmtId="0" fontId="0" fillId="4" borderId="43" xfId="0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7" borderId="0" xfId="0" applyFill="1" applyBorder="1"/>
    <xf numFmtId="49" fontId="30" fillId="0" borderId="0" xfId="0" applyNumberFormat="1" applyFont="1" applyAlignment="1" applyProtection="1">
      <alignment horizontal="left" vertical="top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20" fillId="0" borderId="0" xfId="0" applyFont="1" applyAlignment="1" applyProtection="1">
      <alignment horizontal="left" vertical="center"/>
      <protection locked="0"/>
    </xf>
    <xf numFmtId="49" fontId="18" fillId="2" borderId="26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0" fillId="0" borderId="39" xfId="0" applyFont="1" applyBorder="1" applyAlignment="1">
      <alignment horizontal="center"/>
    </xf>
    <xf numFmtId="0" fontId="21" fillId="3" borderId="40" xfId="0" applyFont="1" applyFill="1" applyBorder="1" applyAlignment="1">
      <alignment horizontal="center"/>
    </xf>
    <xf numFmtId="2" fontId="21" fillId="3" borderId="58" xfId="0" applyNumberFormat="1" applyFont="1" applyFill="1" applyBorder="1" applyAlignment="1">
      <alignment horizontal="center" vertical="center"/>
    </xf>
    <xf numFmtId="2" fontId="21" fillId="3" borderId="39" xfId="0" applyNumberFormat="1" applyFont="1" applyFill="1" applyBorder="1" applyAlignment="1">
      <alignment horizontal="center" vertical="center"/>
    </xf>
    <xf numFmtId="0" fontId="22" fillId="3" borderId="41" xfId="0" applyFont="1" applyFill="1" applyBorder="1" applyAlignment="1">
      <alignment horizontal="center"/>
    </xf>
    <xf numFmtId="0" fontId="23" fillId="2" borderId="19" xfId="0" applyFont="1" applyFill="1" applyBorder="1"/>
    <xf numFmtId="2" fontId="24" fillId="0" borderId="32" xfId="0" applyNumberFormat="1" applyFont="1" applyBorder="1"/>
    <xf numFmtId="0" fontId="23" fillId="2" borderId="37" xfId="0" applyFont="1" applyFill="1" applyBorder="1"/>
    <xf numFmtId="2" fontId="24" fillId="0" borderId="42" xfId="0" applyNumberFormat="1" applyFont="1" applyBorder="1"/>
    <xf numFmtId="2" fontId="18" fillId="2" borderId="2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2" fontId="1" fillId="0" borderId="0" xfId="0" applyNumberFormat="1" applyFont="1" applyAlignment="1" applyProtection="1">
      <alignment horizontal="center" vertical="center"/>
      <protection locked="0"/>
    </xf>
    <xf numFmtId="0" fontId="20" fillId="0" borderId="0" xfId="0" applyFont="1" applyProtection="1">
      <protection locked="0"/>
    </xf>
    <xf numFmtId="0" fontId="21" fillId="0" borderId="0" xfId="0" applyFont="1" applyProtection="1">
      <protection locked="0"/>
    </xf>
    <xf numFmtId="2" fontId="21" fillId="0" borderId="0" xfId="0" applyNumberFormat="1" applyFont="1" applyAlignment="1" applyProtection="1">
      <alignment horizontal="center" vertical="center"/>
      <protection locked="0"/>
    </xf>
    <xf numFmtId="0" fontId="16" fillId="0" borderId="0" xfId="0" applyFon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Protection="1">
      <protection locked="0"/>
    </xf>
    <xf numFmtId="0" fontId="20" fillId="0" borderId="0" xfId="0" applyFont="1" applyAlignment="1" applyProtection="1">
      <alignment horizontal="center" vertical="center"/>
    </xf>
    <xf numFmtId="2" fontId="20" fillId="0" borderId="0" xfId="0" applyNumberFormat="1" applyFont="1" applyAlignment="1" applyProtection="1">
      <alignment horizontal="center" vertical="center"/>
    </xf>
    <xf numFmtId="2" fontId="20" fillId="0" borderId="0" xfId="0" applyNumberFormat="1" applyFont="1" applyProtection="1"/>
    <xf numFmtId="0" fontId="20" fillId="0" borderId="0" xfId="0" applyFont="1" applyProtection="1"/>
    <xf numFmtId="2" fontId="19" fillId="0" borderId="8" xfId="0" applyNumberFormat="1" applyFont="1" applyBorder="1" applyAlignment="1" applyProtection="1">
      <alignment horizontal="center" vertical="center"/>
    </xf>
    <xf numFmtId="0" fontId="16" fillId="2" borderId="31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 applyProtection="1">
      <protection locked="0"/>
    </xf>
    <xf numFmtId="2" fontId="0" fillId="0" borderId="0" xfId="0" applyNumberFormat="1" applyProtection="1"/>
    <xf numFmtId="2" fontId="16" fillId="2" borderId="11" xfId="0" applyNumberFormat="1" applyFont="1" applyFill="1" applyBorder="1" applyAlignment="1" applyProtection="1">
      <alignment horizontal="center" vertical="center"/>
    </xf>
    <xf numFmtId="2" fontId="0" fillId="0" borderId="8" xfId="0" applyNumberFormat="1" applyBorder="1" applyProtection="1"/>
    <xf numFmtId="0" fontId="0" fillId="0" borderId="0" xfId="0" applyAlignment="1" applyProtection="1">
      <alignment horizontal="center"/>
    </xf>
    <xf numFmtId="0" fontId="16" fillId="2" borderId="11" xfId="0" applyFont="1" applyFill="1" applyBorder="1" applyAlignment="1" applyProtection="1">
      <alignment horizontal="center" vertical="center"/>
    </xf>
    <xf numFmtId="2" fontId="0" fillId="0" borderId="0" xfId="0" applyNumberFormat="1" applyAlignment="1" applyProtection="1">
      <alignment horizontal="center"/>
    </xf>
    <xf numFmtId="2" fontId="0" fillId="0" borderId="8" xfId="0" applyNumberFormat="1" applyBorder="1" applyAlignment="1" applyProtection="1">
      <alignment horizontal="center"/>
    </xf>
    <xf numFmtId="0" fontId="16" fillId="2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2" fontId="0" fillId="0" borderId="59" xfId="0" applyNumberFormat="1" applyBorder="1" applyAlignment="1" applyProtection="1">
      <alignment horizontal="center"/>
      <protection locked="0"/>
    </xf>
    <xf numFmtId="0" fontId="0" fillId="12" borderId="60" xfId="0" applyFill="1" applyBorder="1" applyAlignment="1" applyProtection="1">
      <alignment horizontal="center"/>
      <protection locked="0"/>
    </xf>
    <xf numFmtId="0" fontId="16" fillId="4" borderId="11" xfId="0" applyFont="1" applyFill="1" applyBorder="1" applyAlignment="1" applyProtection="1">
      <alignment horizontal="center" vertical="center"/>
      <protection locked="0"/>
    </xf>
    <xf numFmtId="49" fontId="20" fillId="0" borderId="0" xfId="0" applyNumberFormat="1" applyFont="1" applyAlignment="1" applyProtection="1">
      <alignment horizontal="center" vertical="center"/>
      <protection locked="0"/>
    </xf>
    <xf numFmtId="165" fontId="31" fillId="0" borderId="1" xfId="0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vertical="center"/>
    </xf>
    <xf numFmtId="0" fontId="31" fillId="0" borderId="1" xfId="0" applyFont="1" applyFill="1" applyBorder="1" applyAlignment="1">
      <alignment horizontal="center" vertical="center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1" xfId="0" applyNumberFormat="1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 vertical="center"/>
    </xf>
    <xf numFmtId="166" fontId="18" fillId="2" borderId="26" xfId="0" applyNumberFormat="1" applyFont="1" applyFill="1" applyBorder="1" applyAlignment="1" applyProtection="1">
      <alignment horizontal="center" vertical="center"/>
      <protection locked="0"/>
    </xf>
    <xf numFmtId="166" fontId="20" fillId="0" borderId="0" xfId="0" applyNumberFormat="1" applyFont="1" applyAlignment="1" applyProtection="1">
      <alignment horizontal="center" vertical="top"/>
      <protection locked="0"/>
    </xf>
    <xf numFmtId="166" fontId="20" fillId="0" borderId="0" xfId="0" applyNumberFormat="1" applyFont="1" applyAlignment="1" applyProtection="1">
      <alignment horizontal="center" vertical="top" wrapText="1"/>
      <protection locked="0"/>
    </xf>
    <xf numFmtId="166" fontId="16" fillId="0" borderId="8" xfId="0" applyNumberFormat="1" applyFont="1" applyBorder="1" applyAlignment="1" applyProtection="1">
      <alignment horizontal="center" vertical="top"/>
      <protection locked="0"/>
    </xf>
    <xf numFmtId="166" fontId="0" fillId="0" borderId="0" xfId="0" applyNumberFormat="1" applyAlignment="1" applyProtection="1">
      <alignment horizontal="center" vertical="top"/>
      <protection locked="0"/>
    </xf>
    <xf numFmtId="0" fontId="14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33" fillId="0" borderId="0" xfId="0" applyFont="1" applyAlignment="1">
      <alignment vertical="top" wrapText="1"/>
    </xf>
    <xf numFmtId="49" fontId="0" fillId="0" borderId="0" xfId="0" applyNumberFormat="1" applyAlignment="1" applyProtection="1">
      <alignment horizontal="center"/>
      <protection locked="0"/>
    </xf>
    <xf numFmtId="49" fontId="16" fillId="2" borderId="11" xfId="0" applyNumberFormat="1" applyFont="1" applyFill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0" fontId="0" fillId="4" borderId="10" xfId="0" applyFill="1" applyBorder="1"/>
    <xf numFmtId="0" fontId="0" fillId="4" borderId="12" xfId="0" applyFill="1" applyBorder="1"/>
    <xf numFmtId="0" fontId="0" fillId="4" borderId="11" xfId="0" applyFill="1" applyBorder="1" applyAlignment="1">
      <alignment horizontal="center" vertical="top"/>
    </xf>
    <xf numFmtId="166" fontId="0" fillId="4" borderId="11" xfId="0" applyNumberFormat="1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66" fontId="0" fillId="0" borderId="0" xfId="0" applyNumberFormat="1" applyAlignment="1">
      <alignment horizontal="center" vertical="top"/>
    </xf>
    <xf numFmtId="0" fontId="32" fillId="0" borderId="0" xfId="2" applyAlignment="1">
      <alignment horizontal="left" vertical="top" wrapText="1"/>
    </xf>
    <xf numFmtId="0" fontId="34" fillId="0" borderId="0" xfId="2" applyFont="1" applyAlignment="1">
      <alignment horizontal="center" vertical="center" wrapText="1"/>
    </xf>
    <xf numFmtId="0" fontId="11" fillId="0" borderId="4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57" xfId="0" applyFont="1" applyBorder="1" applyAlignment="1">
      <alignment horizontal="left" vertical="center"/>
    </xf>
    <xf numFmtId="0" fontId="11" fillId="0" borderId="4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0" fontId="11" fillId="0" borderId="29" xfId="0" applyFont="1" applyBorder="1" applyAlignment="1">
      <alignment horizontal="left"/>
    </xf>
    <xf numFmtId="0" fontId="11" fillId="0" borderId="30" xfId="0" applyFont="1" applyBorder="1" applyAlignment="1">
      <alignment horizontal="left"/>
    </xf>
    <xf numFmtId="0" fontId="13" fillId="0" borderId="30" xfId="0" applyFont="1" applyBorder="1" applyAlignment="1">
      <alignment horizontal="left"/>
    </xf>
    <xf numFmtId="0" fontId="15" fillId="0" borderId="14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0" borderId="1" xfId="0" applyFont="1" applyBorder="1" applyAlignment="1">
      <alignment horizontal="left" vertical="center"/>
    </xf>
    <xf numFmtId="0" fontId="14" fillId="0" borderId="16" xfId="0" applyFont="1" applyBorder="1" applyAlignment="1">
      <alignment horizontal="left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27" fillId="0" borderId="10" xfId="0" applyFont="1" applyBorder="1" applyAlignment="1">
      <alignment horizontal="left" vertical="center"/>
    </xf>
    <xf numFmtId="0" fontId="27" fillId="0" borderId="11" xfId="0" applyFont="1" applyBorder="1" applyAlignment="1">
      <alignment horizontal="left" vertical="center"/>
    </xf>
    <xf numFmtId="0" fontId="14" fillId="0" borderId="2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14" fillId="0" borderId="9" xfId="0" applyFont="1" applyBorder="1" applyAlignment="1">
      <alignment horizontal="left" vertical="center"/>
    </xf>
    <xf numFmtId="0" fontId="11" fillId="0" borderId="4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14" fontId="13" fillId="0" borderId="0" xfId="0" applyNumberFormat="1" applyFont="1" applyAlignment="1" applyProtection="1">
      <alignment horizontal="left" vertical="center"/>
      <protection locked="0"/>
    </xf>
    <xf numFmtId="166" fontId="13" fillId="0" borderId="0" xfId="0" applyNumberFormat="1" applyFont="1" applyAlignment="1">
      <alignment horizontal="left" vertical="center"/>
    </xf>
    <xf numFmtId="0" fontId="0" fillId="6" borderId="52" xfId="0" applyFill="1" applyBorder="1" applyAlignment="1">
      <alignment horizontal="center" vertical="center"/>
    </xf>
    <xf numFmtId="0" fontId="0" fillId="6" borderId="53" xfId="0" applyFill="1" applyBorder="1" applyAlignment="1">
      <alignment horizontal="center" vertical="center"/>
    </xf>
    <xf numFmtId="0" fontId="0" fillId="6" borderId="54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32" fillId="0" borderId="0" xfId="2" applyProtection="1">
      <protection locked="0"/>
    </xf>
  </cellXfs>
  <cellStyles count="3">
    <cellStyle name="Hyperlink" xfId="2" builtinId="8"/>
    <cellStyle name="Normal" xfId="0" builtinId="0"/>
    <cellStyle name="Percent" xfId="1" builtinId="5"/>
  </cellStyles>
  <dxfs count="4">
    <dxf>
      <numFmt numFmtId="167" formatCode="\-"/>
    </dxf>
    <dxf>
      <numFmt numFmtId="167" formatCode="\-"/>
    </dxf>
    <dxf>
      <font>
        <color theme="9" tint="-0.24994659260841701"/>
      </font>
    </dxf>
    <dxf>
      <font>
        <color rgb="FFFF0000"/>
      </font>
    </dxf>
  </dxfs>
  <tableStyles count="0" defaultTableStyle="TableStyleMedium2" defaultPivotStyle="PivotStyleLight16"/>
  <colors>
    <mruColors>
      <color rgb="FFFF99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2</xdr:row>
      <xdr:rowOff>0</xdr:rowOff>
    </xdr:from>
    <xdr:to>
      <xdr:col>14</xdr:col>
      <xdr:colOff>95250</xdr:colOff>
      <xdr:row>4</xdr:row>
      <xdr:rowOff>28575</xdr:rowOff>
    </xdr:to>
    <xdr:sp macro="[0]!printand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584A8FD-8D83-00A5-ABA4-1ACD6691D04B}"/>
            </a:ext>
          </a:extLst>
        </xdr:cNvPr>
        <xdr:cNvSpPr/>
      </xdr:nvSpPr>
      <xdr:spPr>
        <a:xfrm>
          <a:off x="7029450" y="495300"/>
          <a:ext cx="1266825" cy="4095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044E2-5F89-446D-BB13-D425F1CE629B}">
  <sheetPr codeName="Sheet1"/>
  <dimension ref="A1:W94"/>
  <sheetViews>
    <sheetView tabSelected="1" zoomScale="85" zoomScaleNormal="85" workbookViewId="0">
      <pane xSplit="6" ySplit="1" topLeftCell="I2" activePane="bottomRight" state="frozen"/>
      <selection pane="topRight" activeCell="G1" sqref="G1"/>
      <selection pane="bottomLeft" activeCell="A2" sqref="A2"/>
      <selection pane="bottomRight" activeCell="F8" sqref="F8"/>
    </sheetView>
  </sheetViews>
  <sheetFormatPr defaultRowHeight="14.25"/>
  <cols>
    <col min="1" max="1" width="9.125" style="57"/>
    <col min="2" max="2" width="38" style="56" bestFit="1" customWidth="1"/>
    <col min="3" max="3" width="7.75" style="57" bestFit="1" customWidth="1"/>
    <col min="4" max="4" width="13" style="217" bestFit="1" customWidth="1"/>
    <col min="5" max="5" width="10.125" style="58" bestFit="1" customWidth="1"/>
    <col min="6" max="6" width="10.625" style="59" bestFit="1" customWidth="1"/>
    <col min="7" max="7" width="30.375" style="60" bestFit="1" customWidth="1"/>
    <col min="8" max="8" width="22" style="61" bestFit="1" customWidth="1"/>
    <col min="9" max="9" width="19" style="73" bestFit="1" customWidth="1"/>
    <col min="10" max="10" width="17" style="178" bestFit="1" customWidth="1"/>
    <col min="11" max="11" width="15.875" style="178" bestFit="1" customWidth="1"/>
    <col min="12" max="12" width="16.875" style="178" bestFit="1" customWidth="1"/>
    <col min="13" max="13" width="17.25" style="179" bestFit="1" customWidth="1"/>
    <col min="14" max="14" width="22.625" style="10" customWidth="1"/>
    <col min="15" max="15" width="9" style="10" customWidth="1"/>
    <col min="16" max="16" width="8.25" style="10" bestFit="1" customWidth="1"/>
    <col min="17" max="17" width="13.125" style="10" bestFit="1" customWidth="1"/>
    <col min="18" max="18" width="10.75" style="10" bestFit="1" customWidth="1"/>
    <col min="19" max="19" width="5.375" style="10" bestFit="1" customWidth="1"/>
    <col min="20" max="20" width="12" style="10" bestFit="1" customWidth="1"/>
    <col min="21" max="21" width="5.75" style="10" bestFit="1" customWidth="1"/>
    <col min="22" max="22" width="5.375" style="10" bestFit="1" customWidth="1"/>
    <col min="23" max="16384" width="9" style="10"/>
  </cols>
  <sheetData>
    <row r="1" spans="1:23" s="172" customFormat="1" ht="21.95" customHeight="1" thickBot="1">
      <c r="A1" s="21" t="s">
        <v>29</v>
      </c>
      <c r="B1" s="46" t="s">
        <v>34</v>
      </c>
      <c r="C1" s="22" t="s">
        <v>28</v>
      </c>
      <c r="D1" s="213" t="s">
        <v>18</v>
      </c>
      <c r="E1" s="46" t="s">
        <v>17</v>
      </c>
      <c r="F1" s="47" t="s">
        <v>31</v>
      </c>
      <c r="G1" s="48" t="s">
        <v>19</v>
      </c>
      <c r="H1" s="22" t="s">
        <v>32</v>
      </c>
      <c r="I1" s="70" t="s">
        <v>33</v>
      </c>
      <c r="J1" s="171" t="s">
        <v>30</v>
      </c>
      <c r="K1" s="171" t="s">
        <v>23</v>
      </c>
      <c r="L1" s="171" t="s">
        <v>27</v>
      </c>
      <c r="M1" s="171" t="s">
        <v>22</v>
      </c>
      <c r="N1" s="171" t="s">
        <v>26</v>
      </c>
      <c r="O1" s="172" t="s">
        <v>113</v>
      </c>
      <c r="P1" s="173"/>
    </row>
    <row r="2" spans="1:23" s="174" customFormat="1" ht="18" customHeight="1">
      <c r="A2" s="180" cm="1">
        <f t="array" ref="A2:A64">_xlfn.SEQUENCE(COUNTA($B$2:$B$88))</f>
        <v>1</v>
      </c>
      <c r="B2" s="38" t="s">
        <v>112</v>
      </c>
      <c r="C2" s="30" t="s">
        <v>0</v>
      </c>
      <c r="D2" s="214">
        <v>9898359914</v>
      </c>
      <c r="E2" s="31" t="s">
        <v>49</v>
      </c>
      <c r="F2" s="32"/>
      <c r="G2" s="39" t="s">
        <v>70</v>
      </c>
      <c r="H2" s="34" t="s">
        <v>42</v>
      </c>
      <c r="I2" s="71"/>
      <c r="J2" s="181">
        <f>IF(ISBLANK(C2),"",VLOOKUP(C2,'TOTAL S&amp;FEE '!$H$3:$I$15,2,0))</f>
        <v>3000</v>
      </c>
      <c r="K2" s="181">
        <f t="shared" ref="K2:K53" si="0">IF(ISBLANK(B2),"",IF(AND(C2="K.G.",E2="girl"),200,IF(AND(C2="1st",E2="girl"),200,IF(AND(C2="2nd",E2="girl"),200,IF(AND(C2="3rd",E2="girl"),300,IF(AND(C2="4th",E2="girl"),300,IF(AND(C2="5th",E2="girl"),300,IF(AND(C2="6th",E2="girl"),400,IF(AND(C2="7th",E2="girl"),400,IF(AND(C2="8th",E2="girl"),500,IF(AND(C2="9th",E2="girl"),500,IF(AND(C2="10th",E2="girl"),700,IF(AND(C2="11th",E2="girl"),700,IF(AND(C2="12th",E2="girl"),700,0))))))))))))))</f>
        <v>200</v>
      </c>
      <c r="L2" s="181">
        <f t="shared" ref="L2:L25" si="1">J2-K2</f>
        <v>2800</v>
      </c>
      <c r="M2" s="182">
        <f>IF(ISBLANK(B2),"",SUMIF('FEE ENTRY'!$D$3:$D$202,B2,'FEE ENTRY'!$I$3:$I$202))</f>
        <v>0</v>
      </c>
      <c r="N2" s="182">
        <f t="shared" ref="N2:N25" si="2">L2-M2</f>
        <v>2800</v>
      </c>
      <c r="O2" s="183">
        <f t="shared" ref="O2:O60" si="3">IF(C2="K.G.",0,IF(C2="1st",1,IF(C2="2nd",2,IF(C2="3rd",3,IF(C2="4th",4,IF(C2="5th",5,IF(C2="6th",6,IF(C2="7th",7,IF(C2="8th",8,IF(C2="9th",9,IF(C2="10th",10,IF(C2="11th",11,IF(C2="12th",12,"")))))))))))))</f>
        <v>1</v>
      </c>
      <c r="P2" s="268" t="str">
        <f>HYPERLINK(
    "https://api.whatsapp.com/send?phone=" &amp; C2 &amp;
    "&amp;text=" &amp; "Test Message",
    "send msg"
)</f>
        <v>send msg</v>
      </c>
      <c r="S2" s="10"/>
      <c r="T2" s="10"/>
      <c r="U2" s="10"/>
      <c r="V2" s="10"/>
    </row>
    <row r="3" spans="1:23" s="174" customFormat="1" ht="18" customHeight="1">
      <c r="A3" s="30">
        <v>2</v>
      </c>
      <c r="B3" s="38" t="s">
        <v>52</v>
      </c>
      <c r="C3" s="30" t="s">
        <v>0</v>
      </c>
      <c r="D3" s="214">
        <v>7405182928</v>
      </c>
      <c r="E3" s="31" t="s">
        <v>41</v>
      </c>
      <c r="F3" s="32"/>
      <c r="G3" s="39" t="s">
        <v>53</v>
      </c>
      <c r="H3" s="34" t="s">
        <v>54</v>
      </c>
      <c r="I3" s="71"/>
      <c r="J3" s="181">
        <f>IF(ISBLANK(C3),"",VLOOKUP(C3,'TOTAL S&amp;FEE '!$H$3:$I$15,2,0))</f>
        <v>3000</v>
      </c>
      <c r="K3" s="181">
        <f t="shared" si="0"/>
        <v>0</v>
      </c>
      <c r="L3" s="181">
        <f t="shared" si="1"/>
        <v>3000</v>
      </c>
      <c r="M3" s="182">
        <f>IF(ISBLANK(B3),"",SUMIF('FEE ENTRY'!$D$3:$D$202,B3,'FEE ENTRY'!$I$3:$I$202))</f>
        <v>0</v>
      </c>
      <c r="N3" s="182">
        <f t="shared" si="2"/>
        <v>3000</v>
      </c>
      <c r="O3" s="183">
        <f t="shared" si="3"/>
        <v>1</v>
      </c>
      <c r="S3" s="10"/>
      <c r="T3" s="10"/>
      <c r="U3" s="10"/>
      <c r="V3" s="10"/>
      <c r="W3" s="175"/>
    </row>
    <row r="4" spans="1:23" s="174" customFormat="1" ht="18" customHeight="1">
      <c r="A4" s="30">
        <v>3</v>
      </c>
      <c r="B4" s="55" t="s">
        <v>40</v>
      </c>
      <c r="C4" s="30" t="s">
        <v>5</v>
      </c>
      <c r="D4" s="215">
        <v>9428692168</v>
      </c>
      <c r="E4" s="31" t="s">
        <v>41</v>
      </c>
      <c r="F4" s="32"/>
      <c r="G4" s="33" t="s">
        <v>47</v>
      </c>
      <c r="H4" s="34" t="s">
        <v>42</v>
      </c>
      <c r="I4" s="71"/>
      <c r="J4" s="181">
        <f>IF(ISBLANK(C4),"",VLOOKUP(C4,'TOTAL S&amp;FEE '!$H$3:$I$15,2,0))</f>
        <v>4000</v>
      </c>
      <c r="K4" s="181">
        <f t="shared" si="0"/>
        <v>0</v>
      </c>
      <c r="L4" s="181">
        <f t="shared" si="1"/>
        <v>4000</v>
      </c>
      <c r="M4" s="182">
        <f>IF(ISBLANK(B4),"",SUMIF('FEE ENTRY'!$D$3:$D$202,B4,'FEE ENTRY'!$I$3:$I$202))</f>
        <v>1000</v>
      </c>
      <c r="N4" s="182">
        <f t="shared" si="2"/>
        <v>3000</v>
      </c>
      <c r="O4" s="183">
        <f t="shared" si="3"/>
        <v>3</v>
      </c>
      <c r="S4" s="10"/>
      <c r="T4" s="10"/>
      <c r="U4" s="10"/>
      <c r="V4" s="10"/>
      <c r="W4" s="175"/>
    </row>
    <row r="5" spans="1:23" s="174" customFormat="1" ht="18" customHeight="1">
      <c r="A5" s="30">
        <v>4</v>
      </c>
      <c r="B5" s="38" t="s">
        <v>78</v>
      </c>
      <c r="C5" s="30" t="s">
        <v>5</v>
      </c>
      <c r="D5" s="214">
        <v>9723326757</v>
      </c>
      <c r="E5" s="31" t="s">
        <v>49</v>
      </c>
      <c r="F5" s="32"/>
      <c r="G5" s="39" t="s">
        <v>79</v>
      </c>
      <c r="H5" s="34" t="s">
        <v>80</v>
      </c>
      <c r="I5" s="71"/>
      <c r="J5" s="181">
        <f>IF(ISBLANK(C5),"",VLOOKUP(C5,'TOTAL S&amp;FEE '!$H$3:$I$15,2,0))</f>
        <v>4000</v>
      </c>
      <c r="K5" s="181">
        <f t="shared" si="0"/>
        <v>300</v>
      </c>
      <c r="L5" s="181">
        <f t="shared" si="1"/>
        <v>3700</v>
      </c>
      <c r="M5" s="182">
        <f>IF(ISBLANK(B5),"",SUMIF('FEE ENTRY'!$D$3:$D$202,B5,'FEE ENTRY'!$I$3:$I$202))</f>
        <v>0</v>
      </c>
      <c r="N5" s="182">
        <f t="shared" si="2"/>
        <v>3700</v>
      </c>
      <c r="O5" s="183">
        <f t="shared" si="3"/>
        <v>3</v>
      </c>
      <c r="S5" s="10"/>
      <c r="T5" s="10"/>
      <c r="U5" s="10"/>
      <c r="V5" s="10"/>
      <c r="W5" s="175"/>
    </row>
    <row r="6" spans="1:23" s="174" customFormat="1" ht="18" customHeight="1">
      <c r="A6" s="30">
        <v>5</v>
      </c>
      <c r="B6" s="55" t="s">
        <v>45</v>
      </c>
      <c r="C6" s="30" t="s">
        <v>7</v>
      </c>
      <c r="D6" s="214">
        <v>6356106909</v>
      </c>
      <c r="E6" s="31" t="s">
        <v>41</v>
      </c>
      <c r="F6" s="32"/>
      <c r="G6" s="33" t="s">
        <v>46</v>
      </c>
      <c r="H6" s="33" t="s">
        <v>44</v>
      </c>
      <c r="I6" s="71"/>
      <c r="J6" s="181">
        <f>IF(ISBLANK(C6),"",VLOOKUP(C6,'TOTAL S&amp;FEE '!$H$3:$I$15,2,0))</f>
        <v>4500</v>
      </c>
      <c r="K6" s="181">
        <f t="shared" si="0"/>
        <v>0</v>
      </c>
      <c r="L6" s="181">
        <f t="shared" si="1"/>
        <v>4500</v>
      </c>
      <c r="M6" s="182">
        <f>IF(ISBLANK(B6),"",SUMIF('FEE ENTRY'!$D$3:$D$202,B6,'FEE ENTRY'!$I$3:$I$202))</f>
        <v>1000</v>
      </c>
      <c r="N6" s="182">
        <f t="shared" si="2"/>
        <v>3500</v>
      </c>
      <c r="O6" s="183">
        <f t="shared" si="3"/>
        <v>4</v>
      </c>
      <c r="S6" s="10"/>
      <c r="T6" s="10"/>
      <c r="U6" s="10"/>
      <c r="V6" s="10"/>
      <c r="W6" s="175"/>
    </row>
    <row r="7" spans="1:23" s="174" customFormat="1" ht="18" customHeight="1">
      <c r="A7" s="30">
        <v>6</v>
      </c>
      <c r="B7" s="38" t="s">
        <v>51</v>
      </c>
      <c r="C7" s="30" t="s">
        <v>7</v>
      </c>
      <c r="D7" s="214">
        <v>8401255492</v>
      </c>
      <c r="E7" s="31" t="s">
        <v>41</v>
      </c>
      <c r="F7" s="32"/>
      <c r="G7" s="33" t="s">
        <v>48</v>
      </c>
      <c r="H7" s="34" t="s">
        <v>42</v>
      </c>
      <c r="I7" s="71"/>
      <c r="J7" s="181">
        <f>IF(ISBLANK(C7),"",VLOOKUP(C7,'TOTAL S&amp;FEE '!$H$3:$I$15,2,0))</f>
        <v>4500</v>
      </c>
      <c r="K7" s="181">
        <f t="shared" si="0"/>
        <v>0</v>
      </c>
      <c r="L7" s="181">
        <f t="shared" si="1"/>
        <v>4500</v>
      </c>
      <c r="M7" s="182">
        <f>IF(ISBLANK(B7),"",SUMIF('FEE ENTRY'!$D$3:$D$202,B7,'FEE ENTRY'!$I$3:$I$202))</f>
        <v>500</v>
      </c>
      <c r="N7" s="182">
        <f t="shared" si="2"/>
        <v>4000</v>
      </c>
      <c r="O7" s="183">
        <f t="shared" si="3"/>
        <v>4</v>
      </c>
      <c r="S7" s="10"/>
      <c r="T7" s="10"/>
      <c r="U7" s="10"/>
      <c r="V7" s="10"/>
      <c r="W7" s="175"/>
    </row>
    <row r="8" spans="1:23" s="174" customFormat="1" ht="18" customHeight="1">
      <c r="A8" s="30">
        <v>7</v>
      </c>
      <c r="B8" s="38" t="s">
        <v>94</v>
      </c>
      <c r="C8" s="30" t="s">
        <v>7</v>
      </c>
      <c r="D8" s="214">
        <v>9974633556</v>
      </c>
      <c r="E8" s="31" t="s">
        <v>49</v>
      </c>
      <c r="F8" s="32"/>
      <c r="G8" s="39" t="s">
        <v>82</v>
      </c>
      <c r="H8" s="34" t="s">
        <v>62</v>
      </c>
      <c r="I8" s="71"/>
      <c r="J8" s="181">
        <f>IF(ISBLANK(C8),"",VLOOKUP(C8,'TOTAL S&amp;FEE '!$H$3:$I$15,2,0))</f>
        <v>4500</v>
      </c>
      <c r="K8" s="181">
        <f t="shared" si="0"/>
        <v>300</v>
      </c>
      <c r="L8" s="181">
        <f t="shared" si="1"/>
        <v>4200</v>
      </c>
      <c r="M8" s="182">
        <f>IF(ISBLANK(B8),"",SUMIF('FEE ENTRY'!$D$3:$D$202,B8,'FEE ENTRY'!$I$3:$I$202))</f>
        <v>1000</v>
      </c>
      <c r="N8" s="182">
        <f t="shared" si="2"/>
        <v>3200</v>
      </c>
      <c r="O8" s="183">
        <f t="shared" si="3"/>
        <v>4</v>
      </c>
      <c r="S8" s="10"/>
      <c r="T8" s="10"/>
      <c r="U8" s="10"/>
      <c r="V8" s="10"/>
      <c r="W8" s="175"/>
    </row>
    <row r="9" spans="1:23" s="174" customFormat="1" ht="18" customHeight="1">
      <c r="A9" s="30">
        <v>8</v>
      </c>
      <c r="B9" s="38" t="s">
        <v>73</v>
      </c>
      <c r="C9" s="30" t="s">
        <v>3</v>
      </c>
      <c r="D9" s="214">
        <v>9722252422</v>
      </c>
      <c r="E9" s="31" t="s">
        <v>49</v>
      </c>
      <c r="F9" s="32"/>
      <c r="G9" s="39" t="s">
        <v>70</v>
      </c>
      <c r="H9" s="34" t="s">
        <v>42</v>
      </c>
      <c r="I9" s="71"/>
      <c r="J9" s="181">
        <f>IF(ISBLANK(C9),"",VLOOKUP(C9,'TOTAL S&amp;FEE '!$H$3:$I$15,2,0))</f>
        <v>5000</v>
      </c>
      <c r="K9" s="181">
        <f t="shared" si="0"/>
        <v>300</v>
      </c>
      <c r="L9" s="181">
        <f t="shared" si="1"/>
        <v>4700</v>
      </c>
      <c r="M9" s="182">
        <f>IF(ISBLANK(B9),"",SUMIF('FEE ENTRY'!$D$3:$D$202,B9,'FEE ENTRY'!$I$3:$I$202))</f>
        <v>0</v>
      </c>
      <c r="N9" s="182">
        <f t="shared" si="2"/>
        <v>4700</v>
      </c>
      <c r="O9" s="183">
        <f t="shared" si="3"/>
        <v>5</v>
      </c>
      <c r="S9" s="10"/>
      <c r="T9" s="10"/>
      <c r="U9" s="10"/>
      <c r="V9" s="10"/>
      <c r="W9" s="175"/>
    </row>
    <row r="10" spans="1:23" s="174" customFormat="1" ht="18" customHeight="1">
      <c r="A10" s="30">
        <v>9</v>
      </c>
      <c r="B10" s="38" t="s">
        <v>83</v>
      </c>
      <c r="C10" s="30" t="s">
        <v>3</v>
      </c>
      <c r="D10" s="214">
        <v>9723326757</v>
      </c>
      <c r="E10" s="31" t="s">
        <v>49</v>
      </c>
      <c r="F10" s="32"/>
      <c r="G10" s="39" t="s">
        <v>79</v>
      </c>
      <c r="H10" s="34" t="s">
        <v>80</v>
      </c>
      <c r="I10" s="71"/>
      <c r="J10" s="181">
        <f>IF(ISBLANK(C10),"",VLOOKUP(C10,'TOTAL S&amp;FEE '!$H$3:$I$15,2,0))</f>
        <v>5000</v>
      </c>
      <c r="K10" s="181">
        <f t="shared" si="0"/>
        <v>300</v>
      </c>
      <c r="L10" s="181">
        <f t="shared" si="1"/>
        <v>4700</v>
      </c>
      <c r="M10" s="182">
        <f>IF(ISBLANK(B10),"",SUMIF('FEE ENTRY'!$D$3:$D$202,B10,'FEE ENTRY'!$I$3:$I$202))</f>
        <v>0</v>
      </c>
      <c r="N10" s="182">
        <f t="shared" si="2"/>
        <v>4700</v>
      </c>
      <c r="O10" s="183">
        <f t="shared" si="3"/>
        <v>5</v>
      </c>
      <c r="S10" s="10"/>
      <c r="T10" s="10"/>
      <c r="U10" s="10"/>
      <c r="V10" s="10"/>
      <c r="W10" s="175"/>
    </row>
    <row r="11" spans="1:23" s="174" customFormat="1" ht="18" customHeight="1">
      <c r="A11" s="30">
        <v>10</v>
      </c>
      <c r="B11" s="38" t="s">
        <v>84</v>
      </c>
      <c r="C11" s="30" t="s">
        <v>3</v>
      </c>
      <c r="D11" s="214">
        <v>7405182928</v>
      </c>
      <c r="E11" s="31" t="s">
        <v>41</v>
      </c>
      <c r="F11" s="32"/>
      <c r="G11" s="39" t="s">
        <v>53</v>
      </c>
      <c r="H11" s="34" t="s">
        <v>42</v>
      </c>
      <c r="I11" s="71"/>
      <c r="J11" s="181">
        <f>IF(ISBLANK(C11),"",VLOOKUP(C11,'TOTAL S&amp;FEE '!$H$3:$I$15,2,0))</f>
        <v>5000</v>
      </c>
      <c r="K11" s="181">
        <f t="shared" si="0"/>
        <v>0</v>
      </c>
      <c r="L11" s="181">
        <f t="shared" si="1"/>
        <v>5000</v>
      </c>
      <c r="M11" s="182">
        <f>IF(ISBLANK(B11),"",SUMIF('FEE ENTRY'!$D$3:$D$202,B11,'FEE ENTRY'!$I$3:$I$202))</f>
        <v>0</v>
      </c>
      <c r="N11" s="182">
        <f t="shared" si="2"/>
        <v>5000</v>
      </c>
      <c r="O11" s="183">
        <f t="shared" si="3"/>
        <v>5</v>
      </c>
      <c r="S11" s="10"/>
      <c r="T11" s="10"/>
      <c r="U11" s="10"/>
      <c r="V11" s="10"/>
      <c r="W11" s="175"/>
    </row>
    <row r="12" spans="1:23" s="174" customFormat="1" ht="18" customHeight="1">
      <c r="A12" s="30">
        <v>11</v>
      </c>
      <c r="B12" s="38" t="s">
        <v>85</v>
      </c>
      <c r="C12" s="30" t="s">
        <v>3</v>
      </c>
      <c r="D12" s="214">
        <v>8758555925</v>
      </c>
      <c r="E12" s="31" t="s">
        <v>49</v>
      </c>
      <c r="F12" s="32"/>
      <c r="G12" s="39" t="s">
        <v>86</v>
      </c>
      <c r="H12" s="34" t="s">
        <v>80</v>
      </c>
      <c r="I12" s="71"/>
      <c r="J12" s="181">
        <f>IF(ISBLANK(C12),"",VLOOKUP(C12,'TOTAL S&amp;FEE '!$H$3:$I$15,2,0))</f>
        <v>5000</v>
      </c>
      <c r="K12" s="181">
        <f t="shared" si="0"/>
        <v>300</v>
      </c>
      <c r="L12" s="181">
        <f t="shared" si="1"/>
        <v>4700</v>
      </c>
      <c r="M12" s="182">
        <f>IF(ISBLANK(B12),"",SUMIF('FEE ENTRY'!$D$3:$D$202,B12,'FEE ENTRY'!$I$3:$I$202))</f>
        <v>700</v>
      </c>
      <c r="N12" s="182">
        <f t="shared" si="2"/>
        <v>4000</v>
      </c>
      <c r="O12" s="183">
        <f t="shared" si="3"/>
        <v>5</v>
      </c>
      <c r="S12" s="10"/>
      <c r="T12" s="10"/>
      <c r="U12" s="10"/>
      <c r="V12" s="10"/>
      <c r="W12" s="175"/>
    </row>
    <row r="13" spans="1:23" s="174" customFormat="1" ht="18" customHeight="1">
      <c r="A13" s="30">
        <v>12</v>
      </c>
      <c r="B13" s="38" t="s">
        <v>57</v>
      </c>
      <c r="C13" s="30" t="s">
        <v>4</v>
      </c>
      <c r="D13" s="214">
        <v>7984122443</v>
      </c>
      <c r="E13" s="31" t="s">
        <v>41</v>
      </c>
      <c r="F13" s="32"/>
      <c r="G13" s="39" t="s">
        <v>50</v>
      </c>
      <c r="H13" s="34" t="s">
        <v>58</v>
      </c>
      <c r="I13" s="71"/>
      <c r="J13" s="181">
        <f>IF(ISBLANK(C13),"",VLOOKUP(C13,'TOTAL S&amp;FEE '!$H$3:$I$15,2,0))</f>
        <v>6000</v>
      </c>
      <c r="K13" s="181">
        <f t="shared" si="0"/>
        <v>0</v>
      </c>
      <c r="L13" s="181">
        <f t="shared" si="1"/>
        <v>6000</v>
      </c>
      <c r="M13" s="182">
        <f>IF(ISBLANK(B13),"",SUMIF('FEE ENTRY'!$D$3:$D$202,B13,'FEE ENTRY'!$I$3:$I$202))</f>
        <v>1500</v>
      </c>
      <c r="N13" s="182">
        <f t="shared" si="2"/>
        <v>4500</v>
      </c>
      <c r="O13" s="183">
        <f t="shared" si="3"/>
        <v>6</v>
      </c>
      <c r="S13" s="10"/>
      <c r="T13" s="10"/>
      <c r="U13" s="10"/>
      <c r="V13" s="10"/>
      <c r="W13" s="175"/>
    </row>
    <row r="14" spans="1:23" s="174" customFormat="1" ht="18" customHeight="1">
      <c r="A14" s="30">
        <v>13</v>
      </c>
      <c r="B14" s="38" t="s">
        <v>69</v>
      </c>
      <c r="C14" s="30" t="s">
        <v>4</v>
      </c>
      <c r="D14" s="214">
        <v>9722252422</v>
      </c>
      <c r="E14" s="31" t="s">
        <v>49</v>
      </c>
      <c r="F14" s="32"/>
      <c r="G14" s="39" t="s">
        <v>70</v>
      </c>
      <c r="H14" s="34" t="s">
        <v>42</v>
      </c>
      <c r="I14" s="71"/>
      <c r="J14" s="181">
        <f>IF(ISBLANK(C14),"",VLOOKUP(C14,'TOTAL S&amp;FEE '!$H$3:$I$15,2,0))</f>
        <v>6000</v>
      </c>
      <c r="K14" s="181">
        <f t="shared" si="0"/>
        <v>400</v>
      </c>
      <c r="L14" s="181">
        <f t="shared" si="1"/>
        <v>5600</v>
      </c>
      <c r="M14" s="182">
        <f>IF(ISBLANK(B14),"",SUMIF('FEE ENTRY'!$D$3:$D$202,B14,'FEE ENTRY'!$I$3:$I$202))</f>
        <v>0</v>
      </c>
      <c r="N14" s="182">
        <f t="shared" si="2"/>
        <v>5600</v>
      </c>
      <c r="O14" s="183">
        <f t="shared" si="3"/>
        <v>6</v>
      </c>
      <c r="S14" s="10"/>
      <c r="T14" s="10"/>
      <c r="U14" s="10"/>
      <c r="V14" s="10"/>
      <c r="W14" s="175"/>
    </row>
    <row r="15" spans="1:23" s="174" customFormat="1" ht="18" customHeight="1">
      <c r="A15" s="30">
        <v>14</v>
      </c>
      <c r="B15" s="38" t="s">
        <v>87</v>
      </c>
      <c r="C15" s="30" t="s">
        <v>4</v>
      </c>
      <c r="D15" s="214">
        <v>9723326757</v>
      </c>
      <c r="E15" s="31" t="s">
        <v>49</v>
      </c>
      <c r="F15" s="32"/>
      <c r="G15" s="39" t="s">
        <v>79</v>
      </c>
      <c r="H15" s="34" t="s">
        <v>80</v>
      </c>
      <c r="I15" s="71"/>
      <c r="J15" s="181">
        <f>IF(ISBLANK(C15),"",VLOOKUP(C15,'TOTAL S&amp;FEE '!$H$3:$I$15,2,0))</f>
        <v>6000</v>
      </c>
      <c r="K15" s="181">
        <f t="shared" si="0"/>
        <v>400</v>
      </c>
      <c r="L15" s="181">
        <f t="shared" si="1"/>
        <v>5600</v>
      </c>
      <c r="M15" s="182">
        <f>IF(ISBLANK(B15),"",SUMIF('FEE ENTRY'!$D$3:$D$202,B15,'FEE ENTRY'!$I$3:$I$202))</f>
        <v>0</v>
      </c>
      <c r="N15" s="182">
        <f t="shared" si="2"/>
        <v>5600</v>
      </c>
      <c r="O15" s="183">
        <f t="shared" si="3"/>
        <v>6</v>
      </c>
      <c r="S15"/>
      <c r="T15"/>
    </row>
    <row r="16" spans="1:23" s="174" customFormat="1" ht="18" customHeight="1">
      <c r="A16" s="30">
        <v>15</v>
      </c>
      <c r="B16" s="38" t="s">
        <v>89</v>
      </c>
      <c r="C16" s="30" t="s">
        <v>4</v>
      </c>
      <c r="D16" s="214">
        <v>9510095137</v>
      </c>
      <c r="E16" s="31" t="s">
        <v>41</v>
      </c>
      <c r="F16" s="32"/>
      <c r="G16" s="39" t="s">
        <v>90</v>
      </c>
      <c r="H16" s="34" t="s">
        <v>88</v>
      </c>
      <c r="I16" s="71"/>
      <c r="J16" s="181">
        <f>IF(ISBLANK(C16),"",VLOOKUP(C16,'TOTAL S&amp;FEE '!$H$3:$I$15,2,0))</f>
        <v>6000</v>
      </c>
      <c r="K16" s="181">
        <f t="shared" si="0"/>
        <v>0</v>
      </c>
      <c r="L16" s="181">
        <f t="shared" si="1"/>
        <v>6000</v>
      </c>
      <c r="M16" s="182">
        <f>IF(ISBLANK(B16),"",SUMIF('FEE ENTRY'!$D$3:$D$202,B16,'FEE ENTRY'!$I$3:$I$202))</f>
        <v>1000</v>
      </c>
      <c r="N16" s="182">
        <f t="shared" si="2"/>
        <v>5000</v>
      </c>
      <c r="O16" s="183">
        <f t="shared" si="3"/>
        <v>6</v>
      </c>
      <c r="S16"/>
      <c r="T16"/>
      <c r="U16" s="176"/>
      <c r="V16" s="176"/>
    </row>
    <row r="17" spans="1:20" s="174" customFormat="1" ht="18" customHeight="1">
      <c r="A17" s="30">
        <v>16</v>
      </c>
      <c r="B17" s="38" t="s">
        <v>110</v>
      </c>
      <c r="C17" s="30" t="s">
        <v>4</v>
      </c>
      <c r="D17" s="214">
        <v>9898359914</v>
      </c>
      <c r="E17" s="31" t="s">
        <v>41</v>
      </c>
      <c r="F17" s="32"/>
      <c r="G17" s="39" t="s">
        <v>70</v>
      </c>
      <c r="H17" s="34" t="s">
        <v>42</v>
      </c>
      <c r="I17" s="71"/>
      <c r="J17" s="181">
        <f>IF(ISBLANK(C17),"",VLOOKUP(C17,'TOTAL S&amp;FEE '!$H$3:$I$15,2,0))</f>
        <v>6000</v>
      </c>
      <c r="K17" s="181">
        <f t="shared" si="0"/>
        <v>0</v>
      </c>
      <c r="L17" s="181">
        <f t="shared" si="1"/>
        <v>6000</v>
      </c>
      <c r="M17" s="182">
        <f>IF(ISBLANK(B17),"",SUMIF('FEE ENTRY'!$D$3:$D$202,B17,'FEE ENTRY'!$I$3:$I$202))</f>
        <v>0</v>
      </c>
      <c r="N17" s="182">
        <f t="shared" si="2"/>
        <v>6000</v>
      </c>
      <c r="O17" s="183">
        <f t="shared" si="3"/>
        <v>6</v>
      </c>
      <c r="S17"/>
      <c r="T17"/>
    </row>
    <row r="18" spans="1:20" s="174" customFormat="1" ht="18" customHeight="1">
      <c r="A18" s="30">
        <v>17</v>
      </c>
      <c r="B18" s="55" t="s">
        <v>43</v>
      </c>
      <c r="C18" s="30" t="s">
        <v>8</v>
      </c>
      <c r="D18" s="214">
        <v>7778996255</v>
      </c>
      <c r="E18" s="31" t="s">
        <v>41</v>
      </c>
      <c r="F18" s="32"/>
      <c r="G18" s="33" t="s">
        <v>44</v>
      </c>
      <c r="H18" s="34" t="s">
        <v>42</v>
      </c>
      <c r="I18" s="71"/>
      <c r="J18" s="181">
        <f>IF(ISBLANK(C18),"",VLOOKUP(C18,'TOTAL S&amp;FEE '!$H$3:$I$15,2,0))</f>
        <v>7000</v>
      </c>
      <c r="K18" s="181">
        <f t="shared" si="0"/>
        <v>0</v>
      </c>
      <c r="L18" s="181">
        <f t="shared" si="1"/>
        <v>7000</v>
      </c>
      <c r="M18" s="182">
        <f>IF(ISBLANK(B18),"",SUMIF('FEE ENTRY'!$D$3:$D$202,B18,'FEE ENTRY'!$I$3:$I$202))</f>
        <v>1500</v>
      </c>
      <c r="N18" s="182">
        <f t="shared" si="2"/>
        <v>5500</v>
      </c>
      <c r="O18" s="183">
        <f t="shared" si="3"/>
        <v>7</v>
      </c>
      <c r="S18"/>
      <c r="T18"/>
    </row>
    <row r="19" spans="1:20" s="174" customFormat="1" ht="18" customHeight="1">
      <c r="A19" s="30">
        <v>18</v>
      </c>
      <c r="B19" s="38" t="s">
        <v>81</v>
      </c>
      <c r="C19" s="30" t="s">
        <v>8</v>
      </c>
      <c r="D19" s="214">
        <v>9974633556</v>
      </c>
      <c r="E19" s="31" t="s">
        <v>49</v>
      </c>
      <c r="F19" s="32"/>
      <c r="G19" s="39" t="s">
        <v>82</v>
      </c>
      <c r="H19" s="34" t="s">
        <v>54</v>
      </c>
      <c r="I19" s="71"/>
      <c r="J19" s="181">
        <f>IF(ISBLANK(C19),"",VLOOKUP(C19,'TOTAL S&amp;FEE '!$H$3:$I$15,2,0))</f>
        <v>7000</v>
      </c>
      <c r="K19" s="181">
        <f t="shared" si="0"/>
        <v>400</v>
      </c>
      <c r="L19" s="181">
        <f t="shared" si="1"/>
        <v>6600</v>
      </c>
      <c r="M19" s="182">
        <f>IF(ISBLANK(B19),"",SUMIF('FEE ENTRY'!$D$3:$D$202,B19,'FEE ENTRY'!$I$3:$I$202))</f>
        <v>1000</v>
      </c>
      <c r="N19" s="182">
        <f t="shared" si="2"/>
        <v>5600</v>
      </c>
      <c r="O19" s="183">
        <f t="shared" si="3"/>
        <v>7</v>
      </c>
      <c r="S19"/>
      <c r="T19"/>
    </row>
    <row r="20" spans="1:20" s="174" customFormat="1" ht="18" customHeight="1">
      <c r="A20" s="30">
        <v>19</v>
      </c>
      <c r="B20" s="38" t="s">
        <v>91</v>
      </c>
      <c r="C20" s="30" t="s">
        <v>8</v>
      </c>
      <c r="D20" s="214">
        <v>7600768059</v>
      </c>
      <c r="E20" s="31" t="s">
        <v>41</v>
      </c>
      <c r="F20" s="32"/>
      <c r="G20" s="39" t="s">
        <v>92</v>
      </c>
      <c r="H20" s="34" t="s">
        <v>93</v>
      </c>
      <c r="I20" s="71"/>
      <c r="J20" s="181">
        <f>IF(ISBLANK(C20),"",VLOOKUP(C20,'TOTAL S&amp;FEE '!$H$3:$I$15,2,0))</f>
        <v>7000</v>
      </c>
      <c r="K20" s="181">
        <f t="shared" si="0"/>
        <v>0</v>
      </c>
      <c r="L20" s="181">
        <f t="shared" si="1"/>
        <v>7000</v>
      </c>
      <c r="M20" s="182">
        <f>IF(ISBLANK(B20),"",SUMIF('FEE ENTRY'!$D$3:$D$202,B20,'FEE ENTRY'!$I$3:$I$202))</f>
        <v>1500</v>
      </c>
      <c r="N20" s="182">
        <f t="shared" si="2"/>
        <v>5500</v>
      </c>
      <c r="O20" s="183">
        <f t="shared" si="3"/>
        <v>7</v>
      </c>
      <c r="S20"/>
      <c r="T20"/>
    </row>
    <row r="21" spans="1:20" s="174" customFormat="1" ht="18" customHeight="1">
      <c r="A21" s="30">
        <v>20</v>
      </c>
      <c r="B21" s="38" t="s">
        <v>111</v>
      </c>
      <c r="C21" s="30" t="s">
        <v>8</v>
      </c>
      <c r="D21" s="214">
        <v>9898359914</v>
      </c>
      <c r="E21" s="31" t="s">
        <v>41</v>
      </c>
      <c r="F21" s="32"/>
      <c r="G21" s="39" t="s">
        <v>70</v>
      </c>
      <c r="H21" s="34" t="s">
        <v>42</v>
      </c>
      <c r="I21" s="71"/>
      <c r="J21" s="181">
        <f>IF(ISBLANK(C21),"",VLOOKUP(C21,'TOTAL S&amp;FEE '!$H$3:$I$15,2,0))</f>
        <v>7000</v>
      </c>
      <c r="K21" s="181">
        <f t="shared" si="0"/>
        <v>0</v>
      </c>
      <c r="L21" s="181">
        <f t="shared" si="1"/>
        <v>7000</v>
      </c>
      <c r="M21" s="182">
        <f>IF(ISBLANK(B21),"",SUMIF('FEE ENTRY'!$D$3:$D$202,B21,'FEE ENTRY'!$I$3:$I$202))</f>
        <v>0</v>
      </c>
      <c r="N21" s="182">
        <f t="shared" si="2"/>
        <v>7000</v>
      </c>
      <c r="O21" s="183">
        <f t="shared" si="3"/>
        <v>7</v>
      </c>
      <c r="S21"/>
      <c r="T21"/>
    </row>
    <row r="22" spans="1:20" s="174" customFormat="1" ht="18" customHeight="1">
      <c r="A22" s="30">
        <v>21</v>
      </c>
      <c r="B22" s="38" t="s">
        <v>59</v>
      </c>
      <c r="C22" s="30" t="s">
        <v>2</v>
      </c>
      <c r="D22" s="214">
        <v>7984122443</v>
      </c>
      <c r="E22" s="31" t="s">
        <v>41</v>
      </c>
      <c r="F22" s="32"/>
      <c r="G22" s="39" t="s">
        <v>50</v>
      </c>
      <c r="H22" s="34" t="s">
        <v>58</v>
      </c>
      <c r="I22" s="71"/>
      <c r="J22" s="181">
        <f>IF(ISBLANK(C22),"",VLOOKUP(C22,'TOTAL S&amp;FEE '!$H$3:$I$15,2,0))</f>
        <v>8000</v>
      </c>
      <c r="K22" s="181">
        <f t="shared" si="0"/>
        <v>0</v>
      </c>
      <c r="L22" s="181">
        <f t="shared" si="1"/>
        <v>8000</v>
      </c>
      <c r="M22" s="182">
        <f>IF(ISBLANK(B22),"",SUMIF('FEE ENTRY'!$D$3:$D$202,B22,'FEE ENTRY'!$I$3:$I$202))</f>
        <v>1500</v>
      </c>
      <c r="N22" s="182">
        <f t="shared" si="2"/>
        <v>6500</v>
      </c>
      <c r="O22" s="183">
        <f t="shared" si="3"/>
        <v>8</v>
      </c>
      <c r="S22"/>
      <c r="T22"/>
    </row>
    <row r="23" spans="1:20" s="174" customFormat="1" ht="18" customHeight="1">
      <c r="A23" s="30">
        <v>22</v>
      </c>
      <c r="B23" s="38" t="s">
        <v>63</v>
      </c>
      <c r="C23" s="30" t="s">
        <v>2</v>
      </c>
      <c r="D23" s="214">
        <v>7046110654</v>
      </c>
      <c r="E23" s="31" t="s">
        <v>49</v>
      </c>
      <c r="F23" s="32"/>
      <c r="G23" s="39" t="s">
        <v>64</v>
      </c>
      <c r="H23" s="34" t="s">
        <v>42</v>
      </c>
      <c r="I23" s="71"/>
      <c r="J23" s="181">
        <f>IF(ISBLANK(C23),"",VLOOKUP(C23,'TOTAL S&amp;FEE '!$H$3:$I$15,2,0))</f>
        <v>8000</v>
      </c>
      <c r="K23" s="181">
        <f t="shared" si="0"/>
        <v>500</v>
      </c>
      <c r="L23" s="181">
        <f t="shared" si="1"/>
        <v>7500</v>
      </c>
      <c r="M23" s="182">
        <f>IF(ISBLANK(B23),"",SUMIF('FEE ENTRY'!$D$3:$D$202,B23,'FEE ENTRY'!$I$3:$I$202))</f>
        <v>1000</v>
      </c>
      <c r="N23" s="182">
        <f t="shared" si="2"/>
        <v>6500</v>
      </c>
      <c r="O23" s="183">
        <f t="shared" si="3"/>
        <v>8</v>
      </c>
      <c r="S23"/>
      <c r="T23"/>
    </row>
    <row r="24" spans="1:20" s="174" customFormat="1" ht="18" customHeight="1">
      <c r="A24" s="30">
        <v>23</v>
      </c>
      <c r="B24" s="38" t="s">
        <v>95</v>
      </c>
      <c r="C24" s="30" t="s">
        <v>2</v>
      </c>
      <c r="D24" s="214">
        <v>9723326757</v>
      </c>
      <c r="E24" s="31" t="s">
        <v>49</v>
      </c>
      <c r="F24" s="32"/>
      <c r="G24" s="39" t="s">
        <v>79</v>
      </c>
      <c r="H24" s="34" t="s">
        <v>80</v>
      </c>
      <c r="I24" s="71"/>
      <c r="J24" s="181">
        <f>IF(ISBLANK(C24),"",VLOOKUP(C24,'TOTAL S&amp;FEE '!$H$3:$I$15,2,0))</f>
        <v>8000</v>
      </c>
      <c r="K24" s="181">
        <f t="shared" si="0"/>
        <v>500</v>
      </c>
      <c r="L24" s="181">
        <f t="shared" si="1"/>
        <v>7500</v>
      </c>
      <c r="M24" s="182">
        <f>IF(ISBLANK(B24),"",SUMIF('FEE ENTRY'!$D$3:$D$202,B24,'FEE ENTRY'!$I$3:$I$202))</f>
        <v>0</v>
      </c>
      <c r="N24" s="182">
        <f t="shared" si="2"/>
        <v>7500</v>
      </c>
      <c r="O24" s="183">
        <f t="shared" si="3"/>
        <v>8</v>
      </c>
      <c r="S24"/>
      <c r="T24"/>
    </row>
    <row r="25" spans="1:20" s="174" customFormat="1" ht="18" customHeight="1">
      <c r="A25" s="30">
        <v>24</v>
      </c>
      <c r="B25" s="38" t="s">
        <v>161</v>
      </c>
      <c r="C25" s="30" t="s">
        <v>2</v>
      </c>
      <c r="D25" s="214">
        <v>7861848761</v>
      </c>
      <c r="E25" s="31" t="s">
        <v>41</v>
      </c>
      <c r="F25" s="32"/>
      <c r="G25" s="39" t="s">
        <v>96</v>
      </c>
      <c r="H25" s="34" t="s">
        <v>54</v>
      </c>
      <c r="I25" s="71"/>
      <c r="J25" s="181">
        <f>IF(ISBLANK(C25),"",VLOOKUP(C25,'TOTAL S&amp;FEE '!$H$3:$I$15,2,0))</f>
        <v>8000</v>
      </c>
      <c r="K25" s="181">
        <f t="shared" si="0"/>
        <v>0</v>
      </c>
      <c r="L25" s="181">
        <f t="shared" si="1"/>
        <v>8000</v>
      </c>
      <c r="M25" s="182">
        <f>IF(ISBLANK(B25),"",SUMIF('FEE ENTRY'!$D$3:$D$202,B25,'FEE ENTRY'!$I$3:$I$202))</f>
        <v>2000</v>
      </c>
      <c r="N25" s="182">
        <f t="shared" si="2"/>
        <v>6000</v>
      </c>
      <c r="O25" s="183">
        <f t="shared" si="3"/>
        <v>8</v>
      </c>
      <c r="S25"/>
      <c r="T25"/>
    </row>
    <row r="26" spans="1:20" s="174" customFormat="1" ht="18" customHeight="1">
      <c r="A26" s="30">
        <v>25</v>
      </c>
      <c r="B26" s="38" t="s">
        <v>97</v>
      </c>
      <c r="C26" s="30" t="s">
        <v>2</v>
      </c>
      <c r="D26" s="214">
        <v>9558776923</v>
      </c>
      <c r="E26" s="31" t="s">
        <v>49</v>
      </c>
      <c r="F26" s="32"/>
      <c r="G26" s="39" t="s">
        <v>98</v>
      </c>
      <c r="H26" s="34" t="s">
        <v>42</v>
      </c>
      <c r="I26" s="71"/>
      <c r="J26" s="181">
        <f>IF(ISBLANK(C26),"",VLOOKUP(C26,'TOTAL S&amp;FEE '!$H$3:$I$15,2,0))</f>
        <v>8000</v>
      </c>
      <c r="K26" s="181">
        <f t="shared" si="0"/>
        <v>500</v>
      </c>
      <c r="L26" s="181">
        <f t="shared" ref="L26:L39" si="4">J26-K26</f>
        <v>7500</v>
      </c>
      <c r="M26" s="182">
        <f>IF(ISBLANK(B26),"",SUMIF('FEE ENTRY'!$D$3:$D$202,B26,'FEE ENTRY'!$I$3:$I$202))</f>
        <v>2000</v>
      </c>
      <c r="N26" s="182">
        <f t="shared" ref="N26:N39" si="5">L26-M26</f>
        <v>5500</v>
      </c>
      <c r="O26" s="183">
        <f t="shared" si="3"/>
        <v>8</v>
      </c>
      <c r="S26"/>
      <c r="T26"/>
    </row>
    <row r="27" spans="1:20" s="174" customFormat="1" ht="18" customHeight="1">
      <c r="A27" s="30">
        <v>26</v>
      </c>
      <c r="B27" s="38" t="s">
        <v>99</v>
      </c>
      <c r="C27" s="30" t="s">
        <v>9</v>
      </c>
      <c r="D27" s="214">
        <v>9998712399</v>
      </c>
      <c r="E27" s="31" t="s">
        <v>49</v>
      </c>
      <c r="F27" s="32"/>
      <c r="G27" s="39" t="s">
        <v>100</v>
      </c>
      <c r="H27" s="34" t="s">
        <v>42</v>
      </c>
      <c r="I27" s="71"/>
      <c r="J27" s="181">
        <f>IF(ISBLANK(C27),"",VLOOKUP(C27,'TOTAL S&amp;FEE '!$H$3:$I$15,2,0))</f>
        <v>9500</v>
      </c>
      <c r="K27" s="181">
        <f t="shared" si="0"/>
        <v>500</v>
      </c>
      <c r="L27" s="181">
        <f t="shared" si="4"/>
        <v>9000</v>
      </c>
      <c r="M27" s="182">
        <f>IF(ISBLANK(B27),"",SUMIF('FEE ENTRY'!$D$3:$D$202,B27,'FEE ENTRY'!$I$3:$I$202))</f>
        <v>2000</v>
      </c>
      <c r="N27" s="182">
        <f t="shared" si="5"/>
        <v>7000</v>
      </c>
      <c r="O27" s="183">
        <f t="shared" si="3"/>
        <v>9</v>
      </c>
    </row>
    <row r="28" spans="1:20" s="174" customFormat="1" ht="18" customHeight="1">
      <c r="A28" s="30">
        <v>27</v>
      </c>
      <c r="B28" s="38" t="s">
        <v>101</v>
      </c>
      <c r="C28" s="30" t="s">
        <v>9</v>
      </c>
      <c r="D28" s="214">
        <v>9998554482</v>
      </c>
      <c r="E28" s="31" t="s">
        <v>49</v>
      </c>
      <c r="F28" s="32"/>
      <c r="G28" s="39" t="s">
        <v>102</v>
      </c>
      <c r="H28" s="34" t="s">
        <v>54</v>
      </c>
      <c r="I28" s="71"/>
      <c r="J28" s="181">
        <f>IF(ISBLANK(C28),"",VLOOKUP(C28,'TOTAL S&amp;FEE '!$H$3:$I$15,2,0))</f>
        <v>9500</v>
      </c>
      <c r="K28" s="181">
        <f t="shared" si="0"/>
        <v>500</v>
      </c>
      <c r="L28" s="181">
        <f t="shared" si="4"/>
        <v>9000</v>
      </c>
      <c r="M28" s="182">
        <f>IF(ISBLANK(B28),"",SUMIF('FEE ENTRY'!$D$3:$D$202,B28,'FEE ENTRY'!$I$3:$I$202))</f>
        <v>0</v>
      </c>
      <c r="N28" s="182">
        <f t="shared" si="5"/>
        <v>9000</v>
      </c>
      <c r="O28" s="183">
        <f t="shared" si="3"/>
        <v>9</v>
      </c>
    </row>
    <row r="29" spans="1:20" s="174" customFormat="1" ht="18" customHeight="1">
      <c r="A29" s="30">
        <v>28</v>
      </c>
      <c r="B29" s="38" t="s">
        <v>103</v>
      </c>
      <c r="C29" s="30" t="s">
        <v>9</v>
      </c>
      <c r="D29" s="214">
        <v>9574160929</v>
      </c>
      <c r="E29" s="31" t="s">
        <v>41</v>
      </c>
      <c r="F29" s="32"/>
      <c r="G29" s="39" t="s">
        <v>104</v>
      </c>
      <c r="H29" s="34" t="s">
        <v>105</v>
      </c>
      <c r="I29" s="71"/>
      <c r="J29" s="181">
        <f>IF(ISBLANK(C29),"",VLOOKUP(C29,'TOTAL S&amp;FEE '!$H$3:$I$15,2,0))</f>
        <v>9500</v>
      </c>
      <c r="K29" s="181">
        <f t="shared" si="0"/>
        <v>0</v>
      </c>
      <c r="L29" s="181">
        <f t="shared" si="4"/>
        <v>9500</v>
      </c>
      <c r="M29" s="182">
        <f>IF(ISBLANK(B29),"",SUMIF('FEE ENTRY'!$D$3:$D$202,B29,'FEE ENTRY'!$I$3:$I$202))</f>
        <v>2000</v>
      </c>
      <c r="N29" s="182">
        <f t="shared" si="5"/>
        <v>7500</v>
      </c>
      <c r="O29" s="183">
        <f t="shared" si="3"/>
        <v>9</v>
      </c>
    </row>
    <row r="30" spans="1:20" s="174" customFormat="1" ht="18" customHeight="1">
      <c r="A30" s="30">
        <v>29</v>
      </c>
      <c r="B30" s="38" t="s">
        <v>55</v>
      </c>
      <c r="C30" s="30" t="s">
        <v>6</v>
      </c>
      <c r="D30" s="214">
        <v>9429418784</v>
      </c>
      <c r="E30" s="31" t="s">
        <v>41</v>
      </c>
      <c r="F30" s="32"/>
      <c r="G30" s="39" t="s">
        <v>56</v>
      </c>
      <c r="H30" s="34" t="s">
        <v>54</v>
      </c>
      <c r="I30" s="71"/>
      <c r="J30" s="181">
        <f>IF(ISBLANK(C30),"",VLOOKUP(C30,'TOTAL S&amp;FEE '!$H$3:$I$15,2,0))</f>
        <v>12500</v>
      </c>
      <c r="K30" s="181">
        <f t="shared" si="0"/>
        <v>0</v>
      </c>
      <c r="L30" s="181">
        <f t="shared" si="4"/>
        <v>12500</v>
      </c>
      <c r="M30" s="182">
        <f>IF(ISBLANK(B30),"",SUMIF('FEE ENTRY'!$D$3:$D$202,B30,'FEE ENTRY'!$I$3:$I$202))</f>
        <v>3000</v>
      </c>
      <c r="N30" s="182">
        <f t="shared" si="5"/>
        <v>9500</v>
      </c>
      <c r="O30" s="183">
        <f t="shared" si="3"/>
        <v>10</v>
      </c>
    </row>
    <row r="31" spans="1:20" s="174" customFormat="1" ht="18" customHeight="1">
      <c r="A31" s="30">
        <v>30</v>
      </c>
      <c r="B31" s="38" t="s">
        <v>65</v>
      </c>
      <c r="C31" s="30" t="s">
        <v>6</v>
      </c>
      <c r="D31" s="214">
        <v>9824936741</v>
      </c>
      <c r="E31" s="31" t="s">
        <v>41</v>
      </c>
      <c r="F31" s="32"/>
      <c r="G31" s="39" t="s">
        <v>66</v>
      </c>
      <c r="H31" s="34" t="s">
        <v>54</v>
      </c>
      <c r="I31" s="71"/>
      <c r="J31" s="181">
        <f>IF(ISBLANK(C31),"",VLOOKUP(C31,'TOTAL S&amp;FEE '!$H$3:$I$15,2,0))</f>
        <v>12500</v>
      </c>
      <c r="K31" s="181">
        <f t="shared" si="0"/>
        <v>0</v>
      </c>
      <c r="L31" s="181">
        <f t="shared" si="4"/>
        <v>12500</v>
      </c>
      <c r="M31" s="182">
        <f>IF(ISBLANK(B31),"",SUMIF('FEE ENTRY'!$D$3:$D$202,B31,'FEE ENTRY'!$I$3:$I$202))</f>
        <v>0</v>
      </c>
      <c r="N31" s="182">
        <f t="shared" si="5"/>
        <v>12500</v>
      </c>
      <c r="O31" s="183">
        <f t="shared" si="3"/>
        <v>10</v>
      </c>
    </row>
    <row r="32" spans="1:20" s="174" customFormat="1" ht="18" customHeight="1">
      <c r="A32" s="30">
        <v>31</v>
      </c>
      <c r="B32" s="38" t="s">
        <v>74</v>
      </c>
      <c r="C32" s="30" t="s">
        <v>6</v>
      </c>
      <c r="D32" s="214">
        <v>9689960373</v>
      </c>
      <c r="E32" s="31" t="s">
        <v>49</v>
      </c>
      <c r="F32" s="32"/>
      <c r="G32" s="39" t="s">
        <v>75</v>
      </c>
      <c r="H32" s="34" t="s">
        <v>76</v>
      </c>
      <c r="I32" s="71"/>
      <c r="J32" s="181">
        <f>IF(ISBLANK(C32),"",VLOOKUP(C32,'TOTAL S&amp;FEE '!$H$3:$I$15,2,0))</f>
        <v>12500</v>
      </c>
      <c r="K32" s="181">
        <f t="shared" si="0"/>
        <v>700</v>
      </c>
      <c r="L32" s="181">
        <f t="shared" si="4"/>
        <v>11800</v>
      </c>
      <c r="M32" s="182">
        <f>IF(ISBLANK(B32),"",SUMIF('FEE ENTRY'!$D$3:$D$202,B32,'FEE ENTRY'!$I$3:$I$202))</f>
        <v>3000</v>
      </c>
      <c r="N32" s="182">
        <f t="shared" si="5"/>
        <v>8800</v>
      </c>
      <c r="O32" s="183">
        <f t="shared" si="3"/>
        <v>10</v>
      </c>
    </row>
    <row r="33" spans="1:15" s="174" customFormat="1" ht="18" customHeight="1">
      <c r="A33" s="30">
        <v>32</v>
      </c>
      <c r="B33" s="38" t="s">
        <v>106</v>
      </c>
      <c r="C33" s="30" t="s">
        <v>6</v>
      </c>
      <c r="D33" s="214">
        <v>8758555925</v>
      </c>
      <c r="E33" s="31" t="s">
        <v>41</v>
      </c>
      <c r="F33" s="32"/>
      <c r="G33" s="39" t="s">
        <v>86</v>
      </c>
      <c r="H33" s="34" t="s">
        <v>77</v>
      </c>
      <c r="I33" s="71"/>
      <c r="J33" s="181">
        <f>IF(ISBLANK(C33),"",VLOOKUP(C33,'TOTAL S&amp;FEE '!$H$3:$I$15,2,0))</f>
        <v>12500</v>
      </c>
      <c r="K33" s="181">
        <f t="shared" si="0"/>
        <v>0</v>
      </c>
      <c r="L33" s="181">
        <f t="shared" si="4"/>
        <v>12500</v>
      </c>
      <c r="M33" s="182">
        <f>IF(ISBLANK(B33),"",SUMIF('FEE ENTRY'!$D$3:$D$202,B33,'FEE ENTRY'!$I$3:$I$202))</f>
        <v>1000</v>
      </c>
      <c r="N33" s="182">
        <f t="shared" si="5"/>
        <v>11500</v>
      </c>
      <c r="O33" s="183">
        <f t="shared" si="3"/>
        <v>10</v>
      </c>
    </row>
    <row r="34" spans="1:15" s="174" customFormat="1" ht="18" customHeight="1">
      <c r="A34" s="30">
        <v>33</v>
      </c>
      <c r="B34" s="38" t="s">
        <v>109</v>
      </c>
      <c r="C34" s="30" t="s">
        <v>6</v>
      </c>
      <c r="D34" s="214">
        <v>8160579655</v>
      </c>
      <c r="E34" s="31" t="s">
        <v>49</v>
      </c>
      <c r="F34" s="32"/>
      <c r="G34" s="39" t="s">
        <v>70</v>
      </c>
      <c r="H34" s="34" t="s">
        <v>62</v>
      </c>
      <c r="I34" s="71"/>
      <c r="J34" s="181">
        <f>IF(ISBLANK(C34),"",VLOOKUP(C34,'TOTAL S&amp;FEE '!$H$3:$I$15,2,0))</f>
        <v>12500</v>
      </c>
      <c r="K34" s="181">
        <f t="shared" si="0"/>
        <v>700</v>
      </c>
      <c r="L34" s="181">
        <f t="shared" si="4"/>
        <v>11800</v>
      </c>
      <c r="M34" s="182">
        <f>IF(ISBLANK(B34),"",SUMIF('FEE ENTRY'!$D$3:$D$202,B34,'FEE ENTRY'!$I$3:$I$202))</f>
        <v>0</v>
      </c>
      <c r="N34" s="182">
        <f t="shared" si="5"/>
        <v>11800</v>
      </c>
      <c r="O34" s="183">
        <f t="shared" si="3"/>
        <v>10</v>
      </c>
    </row>
    <row r="35" spans="1:15" s="174" customFormat="1" ht="18" customHeight="1">
      <c r="A35" s="30">
        <v>34</v>
      </c>
      <c r="B35" s="38" t="s">
        <v>60</v>
      </c>
      <c r="C35" s="30" t="s">
        <v>11</v>
      </c>
      <c r="D35" s="214">
        <v>8155917594</v>
      </c>
      <c r="E35" s="31" t="s">
        <v>49</v>
      </c>
      <c r="F35" s="32"/>
      <c r="G35" s="39" t="s">
        <v>61</v>
      </c>
      <c r="H35" s="34" t="s">
        <v>62</v>
      </c>
      <c r="I35" s="71"/>
      <c r="J35" s="181">
        <f>IF(ISBLANK(C35),"",VLOOKUP(C35,'TOTAL S&amp;FEE '!$H$3:$I$15,2,0))</f>
        <v>14500</v>
      </c>
      <c r="K35" s="181">
        <f t="shared" si="0"/>
        <v>700</v>
      </c>
      <c r="L35" s="181">
        <f t="shared" si="4"/>
        <v>13800</v>
      </c>
      <c r="M35" s="182">
        <f>IF(ISBLANK(B35),"",SUMIF('FEE ENTRY'!$D$3:$D$202,B35,'FEE ENTRY'!$I$3:$I$202))</f>
        <v>0</v>
      </c>
      <c r="N35" s="182">
        <f t="shared" si="5"/>
        <v>13800</v>
      </c>
      <c r="O35" s="183">
        <f t="shared" si="3"/>
        <v>12</v>
      </c>
    </row>
    <row r="36" spans="1:15" s="174" customFormat="1" ht="18" customHeight="1">
      <c r="A36" s="30">
        <v>35</v>
      </c>
      <c r="B36" s="38" t="s">
        <v>67</v>
      </c>
      <c r="C36" s="30" t="s">
        <v>11</v>
      </c>
      <c r="D36" s="214">
        <v>8735853637</v>
      </c>
      <c r="E36" s="31" t="s">
        <v>49</v>
      </c>
      <c r="F36" s="32"/>
      <c r="G36" s="39" t="s">
        <v>68</v>
      </c>
      <c r="H36" s="34" t="s">
        <v>62</v>
      </c>
      <c r="I36" s="71"/>
      <c r="J36" s="181">
        <f>IF(ISBLANK(C36),"",VLOOKUP(C36,'TOTAL S&amp;FEE '!$H$3:$I$15,2,0))</f>
        <v>14500</v>
      </c>
      <c r="K36" s="181">
        <f t="shared" si="0"/>
        <v>700</v>
      </c>
      <c r="L36" s="181">
        <f t="shared" si="4"/>
        <v>13800</v>
      </c>
      <c r="M36" s="182">
        <f>IF(ISBLANK(B36),"",SUMIF('FEE ENTRY'!$D$3:$D$202,B36,'FEE ENTRY'!$I$3:$I$202))</f>
        <v>0</v>
      </c>
      <c r="N36" s="182">
        <f t="shared" si="5"/>
        <v>13800</v>
      </c>
      <c r="O36" s="183">
        <f t="shared" si="3"/>
        <v>12</v>
      </c>
    </row>
    <row r="37" spans="1:15" s="174" customFormat="1" ht="18" customHeight="1">
      <c r="A37" s="30">
        <v>36</v>
      </c>
      <c r="B37" s="38" t="s">
        <v>71</v>
      </c>
      <c r="C37" s="30" t="s">
        <v>11</v>
      </c>
      <c r="D37" s="214">
        <v>9099296295</v>
      </c>
      <c r="E37" s="31" t="s">
        <v>41</v>
      </c>
      <c r="F37" s="32"/>
      <c r="G37" s="39" t="s">
        <v>72</v>
      </c>
      <c r="H37" s="34" t="s">
        <v>54</v>
      </c>
      <c r="I37" s="71"/>
      <c r="J37" s="181">
        <f>IF(ISBLANK(C37),"",VLOOKUP(C37,'TOTAL S&amp;FEE '!$H$3:$I$15,2,0))</f>
        <v>14500</v>
      </c>
      <c r="K37" s="181">
        <f t="shared" si="0"/>
        <v>0</v>
      </c>
      <c r="L37" s="181">
        <f t="shared" si="4"/>
        <v>14500</v>
      </c>
      <c r="M37" s="182">
        <f>IF(ISBLANK(B37),"",SUMIF('FEE ENTRY'!$D$3:$D$202,B37,'FEE ENTRY'!$I$3:$I$202))</f>
        <v>0</v>
      </c>
      <c r="N37" s="182">
        <f t="shared" si="5"/>
        <v>14500</v>
      </c>
      <c r="O37" s="183">
        <f t="shared" si="3"/>
        <v>12</v>
      </c>
    </row>
    <row r="38" spans="1:15" s="174" customFormat="1" ht="18" customHeight="1">
      <c r="A38" s="30">
        <v>37</v>
      </c>
      <c r="B38" s="38" t="s">
        <v>107</v>
      </c>
      <c r="C38" s="30" t="s">
        <v>11</v>
      </c>
      <c r="D38" s="214">
        <v>8160579655</v>
      </c>
      <c r="E38" s="31" t="s">
        <v>49</v>
      </c>
      <c r="F38" s="32"/>
      <c r="G38" s="39" t="s">
        <v>70</v>
      </c>
      <c r="H38" s="34" t="s">
        <v>62</v>
      </c>
      <c r="I38" s="71"/>
      <c r="J38" s="181">
        <f>IF(ISBLANK(C38),"",VLOOKUP(C38,'TOTAL S&amp;FEE '!$H$3:$I$15,2,0))</f>
        <v>14500</v>
      </c>
      <c r="K38" s="181">
        <f t="shared" si="0"/>
        <v>700</v>
      </c>
      <c r="L38" s="181">
        <f t="shared" si="4"/>
        <v>13800</v>
      </c>
      <c r="M38" s="182">
        <f>IF(ISBLANK(B38),"",SUMIF('FEE ENTRY'!$D$3:$D$202,B38,'FEE ENTRY'!$I$3:$I$202))</f>
        <v>0</v>
      </c>
      <c r="N38" s="182">
        <f t="shared" si="5"/>
        <v>13800</v>
      </c>
      <c r="O38" s="183">
        <f t="shared" si="3"/>
        <v>12</v>
      </c>
    </row>
    <row r="39" spans="1:15" s="174" customFormat="1" ht="18" customHeight="1">
      <c r="A39" s="30">
        <v>38</v>
      </c>
      <c r="B39" s="38" t="s">
        <v>108</v>
      </c>
      <c r="C39" s="30" t="s">
        <v>11</v>
      </c>
      <c r="D39" s="214">
        <v>9558776923</v>
      </c>
      <c r="E39" s="31" t="s">
        <v>49</v>
      </c>
      <c r="F39" s="32"/>
      <c r="G39" s="39" t="s">
        <v>98</v>
      </c>
      <c r="H39" s="34" t="s">
        <v>62</v>
      </c>
      <c r="I39" s="71"/>
      <c r="J39" s="181">
        <f>IF(ISBLANK(C39),"",VLOOKUP(C39,'TOTAL S&amp;FEE '!$H$3:$I$15,2,0))</f>
        <v>14500</v>
      </c>
      <c r="K39" s="181">
        <f>IF(ISBLANK(B39),"",IF(AND(C39="K.G.",E39="girl"),200,IF(AND(C39="1st",E39="girl"),200,IF(AND(C39="2nd",E39="girl"),200,IF(AND(C39="3rd",E39="girl"),300,IF(AND(C39="4th",E39="girl"),300,IF(AND(C39="5th",E39="girl"),300,IF(AND(C39="6th",E39="girl"),400,IF(AND(C39="7th",E39="girl"),400,IF(AND(C39="8th",E39="girl"),500,IF(AND(C39="9th",E39="girl"),500,IF(AND(C39="10th",E39="girl"),700,IF(AND(C39="11th",E39="girl"),700,IF(AND(C39="12th",E39="girl"),700,0))))))))))))))+800</f>
        <v>1500</v>
      </c>
      <c r="L39" s="181">
        <f t="shared" si="4"/>
        <v>13000</v>
      </c>
      <c r="M39" s="182">
        <f>IF(ISBLANK(B39),"",SUMIF('FEE ENTRY'!$D$3:$D$202,B39,'FEE ENTRY'!$I$3:$I$202))</f>
        <v>3000</v>
      </c>
      <c r="N39" s="182">
        <f t="shared" si="5"/>
        <v>10000</v>
      </c>
      <c r="O39" s="183">
        <f t="shared" si="3"/>
        <v>12</v>
      </c>
    </row>
    <row r="40" spans="1:15" s="174" customFormat="1" ht="18" customHeight="1">
      <c r="A40" s="30">
        <v>39</v>
      </c>
      <c r="B40" s="38" t="s">
        <v>114</v>
      </c>
      <c r="C40" s="30" t="s">
        <v>6</v>
      </c>
      <c r="D40" s="214">
        <v>7436071998</v>
      </c>
      <c r="E40" s="31" t="s">
        <v>49</v>
      </c>
      <c r="F40" s="32">
        <v>45407</v>
      </c>
      <c r="G40" s="39" t="s">
        <v>104</v>
      </c>
      <c r="H40" s="34" t="s">
        <v>62</v>
      </c>
      <c r="I40" s="71"/>
      <c r="J40" s="181">
        <f>IF(ISBLANK(C40),"",VLOOKUP(C40,'TOTAL S&amp;FEE '!$H$3:$I$15,2,0))</f>
        <v>12500</v>
      </c>
      <c r="K40" s="181">
        <f>IF(ISBLANK(B40),"",IF(AND(C40="K.G.",E40="girl"),200,IF(AND(C40="1st",E40="girl"),200,IF(AND(C40="2nd",E40="girl"),200,IF(AND(C40="3rd",E40="girl"),300,IF(AND(C40="4th",E40="girl"),300,IF(AND(C40="5th",E40="girl"),300,IF(AND(C40="6th",E40="girl"),400,IF(AND(C40="7th",E40="girl"),400,IF(AND(C40="8th",E40="girl"),500,IF(AND(C40="9th",E40="girl"),500,IF(AND(C40="10th",E40="girl"),700,IF(AND(C40="11th",E40="girl"),700,IF(AND(C40="12th",E40="girl"),700,0))))))))))))))+1000</f>
        <v>1700</v>
      </c>
      <c r="L40" s="181">
        <f>IF(ISBLANK(B40),"",J40-K40)</f>
        <v>10800</v>
      </c>
      <c r="M40" s="182">
        <f>IF(ISBLANK(B40),"",SUMIF('FEE ENTRY'!$D$3:$D$202,B40,'FEE ENTRY'!$I$3:$I$202))</f>
        <v>3800</v>
      </c>
      <c r="N40" s="182">
        <f>IF(ISBLANK(B40),"",L40-M40)</f>
        <v>7000</v>
      </c>
      <c r="O40" s="183">
        <f t="shared" si="3"/>
        <v>10</v>
      </c>
    </row>
    <row r="41" spans="1:15" s="174" customFormat="1" ht="18" customHeight="1">
      <c r="A41" s="30">
        <v>40</v>
      </c>
      <c r="B41" s="38" t="s">
        <v>121</v>
      </c>
      <c r="C41" s="30" t="s">
        <v>6</v>
      </c>
      <c r="D41" s="214">
        <v>8347358505</v>
      </c>
      <c r="E41" s="31" t="s">
        <v>49</v>
      </c>
      <c r="F41" s="32">
        <v>45411</v>
      </c>
      <c r="G41" s="39" t="s">
        <v>122</v>
      </c>
      <c r="H41" s="34" t="s">
        <v>62</v>
      </c>
      <c r="I41" s="71"/>
      <c r="J41" s="181">
        <f>IF(ISBLANK(C41),"",VLOOKUP(C41,'TOTAL S&amp;FEE '!$H$3:$I$15,2,0))</f>
        <v>12500</v>
      </c>
      <c r="K41" s="181">
        <f>IF(ISBLANK(B41),"",IF(AND(C41="K.G.",E41="girl"),200,IF(AND(C41="1st",E41="girl"),200,IF(AND(C41="2nd",E41="girl"),200,IF(AND(C41="3rd",E41="girl"),300,IF(AND(C41="4th",E41="girl"),300,IF(AND(C41="5th",E41="girl"),300,IF(AND(C41="6th",E41="girl"),400,IF(AND(C41="7th",E41="girl"),400,IF(AND(C41="8th",E41="girl"),500,IF(AND(C41="9th",E41="girl"),500,IF(AND(C41="10th",E41="girl"),700,IF(AND(C41="11th",E41="girl"),700,IF(AND(C41="12th",E41="girl"),700,0))))))))))))))+1300</f>
        <v>2000</v>
      </c>
      <c r="L41" s="181">
        <f t="shared" ref="L41:L88" si="6">IF(ISBLANK(B41),"",J41-K41)</f>
        <v>10500</v>
      </c>
      <c r="M41" s="182">
        <f>IF(ISBLANK(B41),"",SUMIF('FEE ENTRY'!$D$3:$D$202,B41,'FEE ENTRY'!$I$3:$I$202))</f>
        <v>3000</v>
      </c>
      <c r="N41" s="182">
        <f t="shared" ref="N41:N88" si="7">IF(ISBLANK(B41),"",L41-M41)</f>
        <v>7500</v>
      </c>
      <c r="O41" s="183">
        <f t="shared" si="3"/>
        <v>10</v>
      </c>
    </row>
    <row r="42" spans="1:15" s="174" customFormat="1" ht="18" customHeight="1">
      <c r="A42" s="30">
        <v>41</v>
      </c>
      <c r="B42" s="38" t="s">
        <v>123</v>
      </c>
      <c r="C42" s="30" t="s">
        <v>11</v>
      </c>
      <c r="D42" s="214">
        <v>9510714229</v>
      </c>
      <c r="E42" s="31" t="s">
        <v>41</v>
      </c>
      <c r="F42" s="32">
        <v>45421</v>
      </c>
      <c r="G42" s="39" t="s">
        <v>124</v>
      </c>
      <c r="H42" s="34" t="s">
        <v>77</v>
      </c>
      <c r="I42" s="71">
        <v>60</v>
      </c>
      <c r="J42" s="181">
        <f>IF(ISBLANK(C42),"",VLOOKUP(C42,'TOTAL S&amp;FEE '!$H$3:$I$15,2,0))</f>
        <v>14500</v>
      </c>
      <c r="K42" s="181">
        <f t="shared" si="0"/>
        <v>0</v>
      </c>
      <c r="L42" s="181">
        <f t="shared" si="6"/>
        <v>14500</v>
      </c>
      <c r="M42" s="182">
        <f>IF(ISBLANK(B42),"",SUMIF('FEE ENTRY'!$D$3:$D$202,B42,'FEE ENTRY'!$I$3:$I$202))</f>
        <v>2000</v>
      </c>
      <c r="N42" s="182">
        <f t="shared" si="7"/>
        <v>12500</v>
      </c>
      <c r="O42" s="183">
        <f t="shared" si="3"/>
        <v>12</v>
      </c>
    </row>
    <row r="43" spans="1:15" s="174" customFormat="1" ht="18" customHeight="1">
      <c r="A43" s="30">
        <v>42</v>
      </c>
      <c r="B43" s="38" t="s">
        <v>125</v>
      </c>
      <c r="C43" s="30" t="s">
        <v>6</v>
      </c>
      <c r="D43" s="214">
        <v>9265196193</v>
      </c>
      <c r="E43" s="31" t="s">
        <v>41</v>
      </c>
      <c r="F43" s="32">
        <v>45427</v>
      </c>
      <c r="G43" s="39" t="s">
        <v>126</v>
      </c>
      <c r="H43" s="34" t="s">
        <v>54</v>
      </c>
      <c r="I43" s="71">
        <v>78</v>
      </c>
      <c r="J43" s="181">
        <f>IF(ISBLANK(C43),"",VLOOKUP(C43,'TOTAL S&amp;FEE '!$H$3:$I$15,2,0))</f>
        <v>12500</v>
      </c>
      <c r="K43" s="181">
        <f t="shared" si="0"/>
        <v>0</v>
      </c>
      <c r="L43" s="181">
        <f t="shared" si="6"/>
        <v>12500</v>
      </c>
      <c r="M43" s="182">
        <f>IF(ISBLANK(B43),"",SUMIF('FEE ENTRY'!$D$3:$D$202,B43,'FEE ENTRY'!$I$3:$I$202))</f>
        <v>3000</v>
      </c>
      <c r="N43" s="182">
        <f t="shared" si="7"/>
        <v>9500</v>
      </c>
      <c r="O43" s="183">
        <f t="shared" si="3"/>
        <v>10</v>
      </c>
    </row>
    <row r="44" spans="1:15" s="174" customFormat="1" ht="18" customHeight="1">
      <c r="A44" s="30">
        <v>43</v>
      </c>
      <c r="B44" s="38" t="s">
        <v>127</v>
      </c>
      <c r="C44" s="30" t="s">
        <v>11</v>
      </c>
      <c r="D44" s="214">
        <v>8511160752</v>
      </c>
      <c r="E44" s="31" t="s">
        <v>41</v>
      </c>
      <c r="F44" s="32">
        <v>45429</v>
      </c>
      <c r="G44" s="39" t="s">
        <v>130</v>
      </c>
      <c r="H44" s="34" t="s">
        <v>77</v>
      </c>
      <c r="I44" s="71">
        <v>41</v>
      </c>
      <c r="J44" s="181">
        <f>IF(ISBLANK(C44),"",VLOOKUP(C44,'TOTAL S&amp;FEE '!$H$3:$I$15,2,0))</f>
        <v>14500</v>
      </c>
      <c r="K44" s="181">
        <f t="shared" si="0"/>
        <v>0</v>
      </c>
      <c r="L44" s="181">
        <f t="shared" si="6"/>
        <v>14500</v>
      </c>
      <c r="M44" s="182">
        <f>IF(ISBLANK(B44),"",SUMIF('FEE ENTRY'!$D$3:$D$202,B44,'FEE ENTRY'!$I$3:$I$202))</f>
        <v>0</v>
      </c>
      <c r="N44" s="182">
        <f t="shared" si="7"/>
        <v>14500</v>
      </c>
      <c r="O44" s="183">
        <f t="shared" si="3"/>
        <v>12</v>
      </c>
    </row>
    <row r="45" spans="1:15" s="174" customFormat="1" ht="18" customHeight="1">
      <c r="A45" s="30">
        <v>44</v>
      </c>
      <c r="B45" s="38" t="s">
        <v>128</v>
      </c>
      <c r="C45" s="30" t="s">
        <v>11</v>
      </c>
      <c r="D45" s="214">
        <v>9033081709</v>
      </c>
      <c r="E45" s="31" t="s">
        <v>49</v>
      </c>
      <c r="F45" s="32">
        <v>45429</v>
      </c>
      <c r="G45" s="39" t="s">
        <v>129</v>
      </c>
      <c r="H45" s="34" t="s">
        <v>62</v>
      </c>
      <c r="I45" s="71">
        <v>66</v>
      </c>
      <c r="J45" s="181">
        <f>IF(ISBLANK(C45),"",VLOOKUP(C45,'TOTAL S&amp;FEE '!$H$3:$I$15,2,0))</f>
        <v>14500</v>
      </c>
      <c r="K45" s="181">
        <f t="shared" si="0"/>
        <v>700</v>
      </c>
      <c r="L45" s="181">
        <f t="shared" si="6"/>
        <v>13800</v>
      </c>
      <c r="M45" s="182">
        <f>IF(ISBLANK(B45),"",SUMIF('FEE ENTRY'!$D$3:$D$202,B45,'FEE ENTRY'!$I$3:$I$202))</f>
        <v>5000</v>
      </c>
      <c r="N45" s="182">
        <f t="shared" si="7"/>
        <v>8800</v>
      </c>
      <c r="O45" s="183">
        <f t="shared" si="3"/>
        <v>12</v>
      </c>
    </row>
    <row r="46" spans="1:15" s="174" customFormat="1" ht="18" customHeight="1">
      <c r="A46" s="30">
        <v>45</v>
      </c>
      <c r="B46" s="38" t="s">
        <v>149</v>
      </c>
      <c r="C46" s="30" t="s">
        <v>10</v>
      </c>
      <c r="D46" s="214">
        <v>9016605483</v>
      </c>
      <c r="E46" s="31" t="s">
        <v>41</v>
      </c>
      <c r="F46" s="32">
        <v>45433</v>
      </c>
      <c r="G46" s="158" t="s">
        <v>210</v>
      </c>
      <c r="H46" s="39" t="s">
        <v>204</v>
      </c>
      <c r="I46" s="71"/>
      <c r="J46" s="181">
        <f>IF(ISBLANK(C46),"",VLOOKUP(C46,'TOTAL S&amp;FEE '!$H$3:$I$15,2,0))</f>
        <v>13000</v>
      </c>
      <c r="K46" s="181">
        <f t="shared" si="0"/>
        <v>0</v>
      </c>
      <c r="L46" s="181">
        <f t="shared" si="6"/>
        <v>13000</v>
      </c>
      <c r="M46" s="182">
        <f>IF(ISBLANK(B46),"",SUMIF('FEE ENTRY'!$D$3:$D$202,B46,'FEE ENTRY'!$I$3:$I$202))</f>
        <v>0</v>
      </c>
      <c r="N46" s="182">
        <f t="shared" si="7"/>
        <v>13000</v>
      </c>
      <c r="O46" s="183">
        <f t="shared" si="3"/>
        <v>11</v>
      </c>
    </row>
    <row r="47" spans="1:15" s="174" customFormat="1" ht="18" customHeight="1">
      <c r="A47" s="30">
        <v>46</v>
      </c>
      <c r="B47" s="38" t="s">
        <v>160</v>
      </c>
      <c r="C47" s="30" t="s">
        <v>6</v>
      </c>
      <c r="D47" s="214">
        <v>9512951714</v>
      </c>
      <c r="E47" s="31" t="s">
        <v>41</v>
      </c>
      <c r="F47" s="32">
        <v>45453</v>
      </c>
      <c r="G47" s="39" t="s">
        <v>159</v>
      </c>
      <c r="H47" s="34" t="s">
        <v>77</v>
      </c>
      <c r="I47" s="71">
        <v>37.86</v>
      </c>
      <c r="J47" s="181">
        <f>IF(ISBLANK(C47),"",VLOOKUP(C47,'TOTAL S&amp;FEE '!$H$3:$I$15,2,0))</f>
        <v>12500</v>
      </c>
      <c r="K47" s="181">
        <f t="shared" si="0"/>
        <v>0</v>
      </c>
      <c r="L47" s="181">
        <f t="shared" si="6"/>
        <v>12500</v>
      </c>
      <c r="M47" s="182">
        <f>IF(ISBLANK(B47),"",SUMIF('FEE ENTRY'!$D$3:$D$202,B47,'FEE ENTRY'!$I$3:$I$202))</f>
        <v>3000</v>
      </c>
      <c r="N47" s="182">
        <f t="shared" si="7"/>
        <v>9500</v>
      </c>
      <c r="O47" s="183">
        <f t="shared" si="3"/>
        <v>10</v>
      </c>
    </row>
    <row r="48" spans="1:15" s="174" customFormat="1" ht="18" customHeight="1">
      <c r="A48" s="30">
        <v>47</v>
      </c>
      <c r="B48" s="38" t="s">
        <v>162</v>
      </c>
      <c r="C48" s="30" t="s">
        <v>10</v>
      </c>
      <c r="D48" s="214">
        <v>9277777726</v>
      </c>
      <c r="E48" s="31" t="s">
        <v>41</v>
      </c>
      <c r="F48" s="32">
        <v>45456</v>
      </c>
      <c r="G48" s="39" t="s">
        <v>206</v>
      </c>
      <c r="H48" s="39" t="s">
        <v>204</v>
      </c>
      <c r="I48" s="71"/>
      <c r="J48" s="181">
        <f>IF(ISBLANK(C48),"",VLOOKUP(C48,'TOTAL S&amp;FEE '!$H$3:$I$15,2,0))</f>
        <v>13000</v>
      </c>
      <c r="K48" s="181">
        <f t="shared" si="0"/>
        <v>0</v>
      </c>
      <c r="L48" s="181">
        <f t="shared" si="6"/>
        <v>13000</v>
      </c>
      <c r="M48" s="182">
        <f>IF(ISBLANK(B48),"",SUMIF('FEE ENTRY'!$D$3:$D$202,B48,'FEE ENTRY'!$I$3:$I$202))</f>
        <v>1500</v>
      </c>
      <c r="N48" s="182">
        <f t="shared" si="7"/>
        <v>11500</v>
      </c>
      <c r="O48" s="183">
        <f t="shared" si="3"/>
        <v>11</v>
      </c>
    </row>
    <row r="49" spans="1:15" s="174" customFormat="1" ht="18" customHeight="1">
      <c r="A49" s="30">
        <v>48</v>
      </c>
      <c r="B49" s="38" t="s">
        <v>163</v>
      </c>
      <c r="C49" s="30" t="s">
        <v>10</v>
      </c>
      <c r="D49" s="214">
        <v>7043863954</v>
      </c>
      <c r="E49" s="31" t="s">
        <v>41</v>
      </c>
      <c r="F49" s="32">
        <v>45457</v>
      </c>
      <c r="G49" s="39" t="s">
        <v>70</v>
      </c>
      <c r="H49" s="39" t="s">
        <v>204</v>
      </c>
      <c r="I49" s="71"/>
      <c r="J49" s="181">
        <f>IF(ISBLANK(C49),"",VLOOKUP(C49,'TOTAL S&amp;FEE '!$H$3:$I$15,2,0))</f>
        <v>13000</v>
      </c>
      <c r="K49" s="181">
        <f t="shared" si="0"/>
        <v>0</v>
      </c>
      <c r="L49" s="181">
        <f t="shared" si="6"/>
        <v>13000</v>
      </c>
      <c r="M49" s="182">
        <f>IF(ISBLANK(B49),"",SUMIF('FEE ENTRY'!$D$3:$D$202,B49,'FEE ENTRY'!$I$3:$I$202))</f>
        <v>0</v>
      </c>
      <c r="N49" s="182">
        <f t="shared" si="7"/>
        <v>13000</v>
      </c>
      <c r="O49" s="183">
        <f t="shared" si="3"/>
        <v>11</v>
      </c>
    </row>
    <row r="50" spans="1:15" s="174" customFormat="1" ht="18" customHeight="1">
      <c r="A50" s="30">
        <v>49</v>
      </c>
      <c r="B50" s="38" t="s">
        <v>164</v>
      </c>
      <c r="C50" s="30" t="s">
        <v>10</v>
      </c>
      <c r="D50" s="214">
        <v>7862983313</v>
      </c>
      <c r="E50" s="31" t="s">
        <v>41</v>
      </c>
      <c r="F50" s="32">
        <v>45457</v>
      </c>
      <c r="G50" s="39" t="s">
        <v>207</v>
      </c>
      <c r="H50" s="39" t="s">
        <v>205</v>
      </c>
      <c r="I50" s="71"/>
      <c r="J50" s="181">
        <f>IF(ISBLANK(C50),"",VLOOKUP(C50,'TOTAL S&amp;FEE '!$H$3:$I$15,2,0))</f>
        <v>13000</v>
      </c>
      <c r="K50" s="181">
        <f t="shared" si="0"/>
        <v>0</v>
      </c>
      <c r="L50" s="181">
        <f t="shared" si="6"/>
        <v>13000</v>
      </c>
      <c r="M50" s="182">
        <f>IF(ISBLANK(B50),"",SUMIF('FEE ENTRY'!$D$3:$D$202,B50,'FEE ENTRY'!$I$3:$I$202))</f>
        <v>1500</v>
      </c>
      <c r="N50" s="182">
        <f t="shared" si="7"/>
        <v>11500</v>
      </c>
      <c r="O50" s="183">
        <f t="shared" si="3"/>
        <v>11</v>
      </c>
    </row>
    <row r="51" spans="1:15" s="174" customFormat="1" ht="18" customHeight="1">
      <c r="A51" s="30">
        <v>50</v>
      </c>
      <c r="B51" s="38" t="s">
        <v>194</v>
      </c>
      <c r="C51" s="30" t="s">
        <v>10</v>
      </c>
      <c r="D51" s="214">
        <v>7862063648</v>
      </c>
      <c r="E51" s="31" t="s">
        <v>49</v>
      </c>
      <c r="F51" s="32">
        <v>45442</v>
      </c>
      <c r="G51" s="39" t="s">
        <v>208</v>
      </c>
      <c r="H51" s="34" t="s">
        <v>62</v>
      </c>
      <c r="I51" s="71"/>
      <c r="J51" s="181">
        <f>IF(ISBLANK(C51),"",VLOOKUP(C51,'TOTAL S&amp;FEE '!$H$3:$I$15,2,0))</f>
        <v>13000</v>
      </c>
      <c r="K51" s="181">
        <f t="shared" si="0"/>
        <v>700</v>
      </c>
      <c r="L51" s="181">
        <f t="shared" si="6"/>
        <v>12300</v>
      </c>
      <c r="M51" s="182">
        <f>IF(ISBLANK(B51),"",SUMIF('FEE ENTRY'!$D$3:$D$202,B51,'FEE ENTRY'!$I$3:$I$202))</f>
        <v>2000</v>
      </c>
      <c r="N51" s="182">
        <f t="shared" si="7"/>
        <v>10300</v>
      </c>
      <c r="O51" s="183">
        <f t="shared" si="3"/>
        <v>11</v>
      </c>
    </row>
    <row r="52" spans="1:15" s="174" customFormat="1" ht="18" customHeight="1">
      <c r="A52" s="30">
        <v>51</v>
      </c>
      <c r="B52" s="38" t="s">
        <v>168</v>
      </c>
      <c r="C52" s="30" t="s">
        <v>7</v>
      </c>
      <c r="D52" s="214">
        <v>7874789242</v>
      </c>
      <c r="E52" s="31" t="s">
        <v>41</v>
      </c>
      <c r="F52" s="32">
        <v>45469</v>
      </c>
      <c r="G52" s="39" t="s">
        <v>166</v>
      </c>
      <c r="H52" s="34" t="s">
        <v>167</v>
      </c>
      <c r="I52" s="71"/>
      <c r="J52" s="181">
        <f>IF(ISBLANK(C52),"",VLOOKUP(C52,'TOTAL S&amp;FEE '!$H$3:$I$15,2,0))</f>
        <v>4500</v>
      </c>
      <c r="K52" s="181">
        <f t="shared" si="0"/>
        <v>0</v>
      </c>
      <c r="L52" s="181">
        <f t="shared" si="6"/>
        <v>4500</v>
      </c>
      <c r="M52" s="182">
        <f>IF(ISBLANK(B52),"",SUMIF('FEE ENTRY'!$D$3:$D$202,B52,'FEE ENTRY'!$I$3:$I$202))</f>
        <v>1000</v>
      </c>
      <c r="N52" s="182">
        <f t="shared" si="7"/>
        <v>3500</v>
      </c>
      <c r="O52" s="183">
        <f t="shared" si="3"/>
        <v>4</v>
      </c>
    </row>
    <row r="53" spans="1:15" s="174" customFormat="1" ht="18" customHeight="1">
      <c r="A53" s="30">
        <v>52</v>
      </c>
      <c r="B53" s="38" t="s">
        <v>169</v>
      </c>
      <c r="C53" s="30" t="s">
        <v>6</v>
      </c>
      <c r="D53" s="214">
        <v>9727137039</v>
      </c>
      <c r="E53" s="31" t="s">
        <v>49</v>
      </c>
      <c r="F53" s="32">
        <v>45469</v>
      </c>
      <c r="G53" s="39" t="s">
        <v>104</v>
      </c>
      <c r="H53" s="34" t="s">
        <v>209</v>
      </c>
      <c r="I53" s="71"/>
      <c r="J53" s="181">
        <f>IF(ISBLANK(C53),"",VLOOKUP(C53,'TOTAL S&amp;FEE '!$H$3:$I$15,2,0))</f>
        <v>12500</v>
      </c>
      <c r="K53" s="181">
        <f t="shared" si="0"/>
        <v>700</v>
      </c>
      <c r="L53" s="181">
        <f t="shared" si="6"/>
        <v>11800</v>
      </c>
      <c r="M53" s="182">
        <f>IF(ISBLANK(B53),"",SUMIF('FEE ENTRY'!$D$3:$D$202,B53,'FEE ENTRY'!$I$3:$I$202))</f>
        <v>3000</v>
      </c>
      <c r="N53" s="182">
        <f t="shared" si="7"/>
        <v>8800</v>
      </c>
      <c r="O53" s="183">
        <f t="shared" si="3"/>
        <v>10</v>
      </c>
    </row>
    <row r="54" spans="1:15" s="174" customFormat="1" ht="18" customHeight="1">
      <c r="A54" s="30">
        <v>53</v>
      </c>
      <c r="B54" s="38" t="s">
        <v>170</v>
      </c>
      <c r="C54" s="30" t="s">
        <v>6</v>
      </c>
      <c r="D54" s="214">
        <v>9879116420</v>
      </c>
      <c r="E54" s="31" t="s">
        <v>49</v>
      </c>
      <c r="F54" s="32">
        <v>45471</v>
      </c>
      <c r="G54" s="39" t="s">
        <v>171</v>
      </c>
      <c r="H54" s="34" t="s">
        <v>172</v>
      </c>
      <c r="I54" s="71"/>
      <c r="J54" s="181">
        <f>IF(ISBLANK(C54),"",VLOOKUP(C54,'TOTAL S&amp;FEE '!$H$3:$I$15,2,0))</f>
        <v>12500</v>
      </c>
      <c r="K54" s="181">
        <f t="shared" ref="K54:K88" si="8">IF(ISBLANK(B54),"",IF(AND(C54="K.G.",E54="girl"),200,IF(AND(C54="1st",E54="girl"),200,IF(AND(C54="2nd",E54="girl"),200,IF(AND(C54="3rd",E54="girl"),300,IF(AND(C54="4th",E54="girl"),300,IF(AND(C54="5th",E54="girl"),300,IF(AND(C54="6th",E54="girl"),400,IF(AND(C54="7th",E54="girl"),400,IF(AND(C54="8th",E54="girl"),500,IF(AND(C54="9th",E54="girl"),500,IF(AND(C54="10th",E54="girl"),700,IF(AND(C54="11th",E54="girl"),700,IF(AND(C54="12th",E54="girl"),700,0))))))))))))))</f>
        <v>700</v>
      </c>
      <c r="L54" s="181">
        <f t="shared" si="6"/>
        <v>11800</v>
      </c>
      <c r="M54" s="182">
        <f>IF(ISBLANK(B54),"",SUMIF('FEE ENTRY'!$D$3:$D$202,B54,'FEE ENTRY'!$I$3:$I$202))</f>
        <v>3000</v>
      </c>
      <c r="N54" s="182">
        <f t="shared" si="7"/>
        <v>8800</v>
      </c>
      <c r="O54" s="183">
        <f t="shared" si="3"/>
        <v>10</v>
      </c>
    </row>
    <row r="55" spans="1:15" s="174" customFormat="1" ht="18" customHeight="1">
      <c r="A55" s="30">
        <v>54</v>
      </c>
      <c r="B55" s="38" t="s">
        <v>173</v>
      </c>
      <c r="C55" s="30" t="s">
        <v>2</v>
      </c>
      <c r="D55" s="214">
        <v>9879116420</v>
      </c>
      <c r="E55" s="31" t="s">
        <v>49</v>
      </c>
      <c r="F55" s="32">
        <v>45471</v>
      </c>
      <c r="G55" s="39" t="s">
        <v>171</v>
      </c>
      <c r="H55" s="34" t="s">
        <v>172</v>
      </c>
      <c r="I55" s="71"/>
      <c r="J55" s="181">
        <f>IF(ISBLANK(C55),"",VLOOKUP(C55,'TOTAL S&amp;FEE '!$H$3:$I$15,2,0))</f>
        <v>8000</v>
      </c>
      <c r="K55" s="181">
        <f t="shared" si="8"/>
        <v>500</v>
      </c>
      <c r="L55" s="181">
        <f t="shared" si="6"/>
        <v>7500</v>
      </c>
      <c r="M55" s="182">
        <f>IF(ISBLANK(B55),"",SUMIF('FEE ENTRY'!$D$3:$D$202,B55,'FEE ENTRY'!$I$3:$I$202))</f>
        <v>2000</v>
      </c>
      <c r="N55" s="182">
        <f t="shared" si="7"/>
        <v>5500</v>
      </c>
      <c r="O55" s="183">
        <f t="shared" si="3"/>
        <v>8</v>
      </c>
    </row>
    <row r="56" spans="1:15" s="174" customFormat="1" ht="18" customHeight="1">
      <c r="A56" s="30">
        <v>55</v>
      </c>
      <c r="B56" s="38" t="s">
        <v>177</v>
      </c>
      <c r="C56" s="30" t="s">
        <v>0</v>
      </c>
      <c r="D56" s="214">
        <v>9727997744</v>
      </c>
      <c r="E56" s="31" t="s">
        <v>49</v>
      </c>
      <c r="F56" s="32">
        <v>45473</v>
      </c>
      <c r="G56" s="39" t="s">
        <v>174</v>
      </c>
      <c r="H56" s="34" t="s">
        <v>175</v>
      </c>
      <c r="I56" s="71"/>
      <c r="J56" s="181">
        <f>IF(ISBLANK(C56),"",VLOOKUP(C56,'TOTAL S&amp;FEE '!$H$3:$I$15,2,0))</f>
        <v>3000</v>
      </c>
      <c r="K56" s="181">
        <f t="shared" si="8"/>
        <v>200</v>
      </c>
      <c r="L56" s="181">
        <f t="shared" si="6"/>
        <v>2800</v>
      </c>
      <c r="M56" s="182">
        <f>IF(ISBLANK(B56),"",SUMIF('FEE ENTRY'!$D$3:$D$202,B56,'FEE ENTRY'!$I$3:$I$202))</f>
        <v>500</v>
      </c>
      <c r="N56" s="182">
        <f t="shared" si="7"/>
        <v>2300</v>
      </c>
      <c r="O56" s="183">
        <f t="shared" si="3"/>
        <v>1</v>
      </c>
    </row>
    <row r="57" spans="1:15" s="174" customFormat="1" ht="18" customHeight="1">
      <c r="A57" s="30">
        <v>56</v>
      </c>
      <c r="B57" s="38" t="s">
        <v>176</v>
      </c>
      <c r="C57" s="30" t="s">
        <v>5</v>
      </c>
      <c r="D57" s="214">
        <v>9727997744</v>
      </c>
      <c r="E57" s="31" t="s">
        <v>49</v>
      </c>
      <c r="F57" s="32">
        <v>45473</v>
      </c>
      <c r="G57" s="39" t="s">
        <v>174</v>
      </c>
      <c r="H57" s="34" t="s">
        <v>175</v>
      </c>
      <c r="I57" s="71">
        <v>90</v>
      </c>
      <c r="J57" s="181">
        <f>IF(ISBLANK(C57),"",VLOOKUP(C57,'TOTAL S&amp;FEE '!$H$3:$I$15,2,0))</f>
        <v>4000</v>
      </c>
      <c r="K57" s="181">
        <f t="shared" si="8"/>
        <v>300</v>
      </c>
      <c r="L57" s="181">
        <f t="shared" si="6"/>
        <v>3700</v>
      </c>
      <c r="M57" s="182">
        <f>IF(ISBLANK(B57),"",SUMIF('FEE ENTRY'!$D$3:$D$202,B57,'FEE ENTRY'!$I$3:$I$202))</f>
        <v>500</v>
      </c>
      <c r="N57" s="182">
        <f t="shared" si="7"/>
        <v>3200</v>
      </c>
      <c r="O57" s="183">
        <f t="shared" si="3"/>
        <v>3</v>
      </c>
    </row>
    <row r="58" spans="1:15" s="174" customFormat="1" ht="18" customHeight="1">
      <c r="A58" s="30">
        <v>57</v>
      </c>
      <c r="B58" s="38" t="s">
        <v>178</v>
      </c>
      <c r="C58" s="30" t="s">
        <v>6</v>
      </c>
      <c r="D58" s="214">
        <v>9825981417</v>
      </c>
      <c r="E58" s="31" t="s">
        <v>49</v>
      </c>
      <c r="F58" s="32">
        <v>45479</v>
      </c>
      <c r="G58" s="39" t="s">
        <v>179</v>
      </c>
      <c r="H58" s="34" t="s">
        <v>180</v>
      </c>
      <c r="I58" s="71"/>
      <c r="J58" s="181">
        <f>IF(ISBLANK(C58),"",VLOOKUP(C58,'TOTAL S&amp;FEE '!$H$3:$I$15,2,0))</f>
        <v>12500</v>
      </c>
      <c r="K58" s="181">
        <f t="shared" si="8"/>
        <v>700</v>
      </c>
      <c r="L58" s="181">
        <f t="shared" si="6"/>
        <v>11800</v>
      </c>
      <c r="M58" s="182">
        <f>IF(ISBLANK(B58),"",SUMIF('FEE ENTRY'!$D$3:$D$202,B58,'FEE ENTRY'!$I$3:$I$202))</f>
        <v>3000</v>
      </c>
      <c r="N58" s="182">
        <f t="shared" si="7"/>
        <v>8800</v>
      </c>
      <c r="O58" s="183">
        <f t="shared" si="3"/>
        <v>10</v>
      </c>
    </row>
    <row r="59" spans="1:15" s="174" customFormat="1" ht="18" customHeight="1">
      <c r="A59" s="30">
        <v>58</v>
      </c>
      <c r="B59" s="38" t="s">
        <v>181</v>
      </c>
      <c r="C59" s="30" t="s">
        <v>2</v>
      </c>
      <c r="D59" s="214">
        <v>7041818259</v>
      </c>
      <c r="E59" s="31" t="s">
        <v>41</v>
      </c>
      <c r="F59" s="32">
        <v>45482</v>
      </c>
      <c r="G59" s="39" t="s">
        <v>182</v>
      </c>
      <c r="H59" s="34" t="s">
        <v>183</v>
      </c>
      <c r="I59" s="71">
        <v>78.75</v>
      </c>
      <c r="J59" s="181">
        <f>IF(ISBLANK(C59),"",VLOOKUP(C59,'TOTAL S&amp;FEE '!$H$3:$I$15,2,0))</f>
        <v>8000</v>
      </c>
      <c r="K59" s="181">
        <f t="shared" si="8"/>
        <v>0</v>
      </c>
      <c r="L59" s="181">
        <f t="shared" si="6"/>
        <v>8000</v>
      </c>
      <c r="M59" s="182">
        <f>IF(ISBLANK(B59),"",SUMIF('FEE ENTRY'!$D$3:$D$202,B59,'FEE ENTRY'!$I$3:$I$202))</f>
        <v>1000</v>
      </c>
      <c r="N59" s="182">
        <f t="shared" si="7"/>
        <v>7000</v>
      </c>
      <c r="O59" s="183">
        <f t="shared" si="3"/>
        <v>8</v>
      </c>
    </row>
    <row r="60" spans="1:15" s="174" customFormat="1" ht="18" customHeight="1">
      <c r="A60" s="30">
        <v>59</v>
      </c>
      <c r="B60" s="38" t="s">
        <v>184</v>
      </c>
      <c r="C60" s="30" t="s">
        <v>8</v>
      </c>
      <c r="D60" s="214">
        <v>8141425975</v>
      </c>
      <c r="E60" s="31" t="s">
        <v>41</v>
      </c>
      <c r="F60" s="32">
        <v>45482</v>
      </c>
      <c r="G60" s="39" t="s">
        <v>70</v>
      </c>
      <c r="H60" s="34" t="s">
        <v>185</v>
      </c>
      <c r="I60" s="71"/>
      <c r="J60" s="181">
        <f>IF(ISBLANK(C60),"",VLOOKUP(C60,'TOTAL S&amp;FEE '!$H$3:$I$15,2,0))</f>
        <v>7000</v>
      </c>
      <c r="K60" s="181">
        <f t="shared" si="8"/>
        <v>0</v>
      </c>
      <c r="L60" s="181">
        <f t="shared" si="6"/>
        <v>7000</v>
      </c>
      <c r="M60" s="182">
        <f>IF(ISBLANK(B60),"",SUMIF('FEE ENTRY'!$D$3:$D$202,B60,'FEE ENTRY'!$I$3:$I$202))</f>
        <v>2000</v>
      </c>
      <c r="N60" s="182">
        <f t="shared" si="7"/>
        <v>5000</v>
      </c>
      <c r="O60" s="183">
        <f t="shared" si="3"/>
        <v>7</v>
      </c>
    </row>
    <row r="61" spans="1:15" s="174" customFormat="1" ht="18" customHeight="1">
      <c r="A61" s="30">
        <v>60</v>
      </c>
      <c r="B61" s="38" t="s">
        <v>186</v>
      </c>
      <c r="C61" s="30" t="s">
        <v>8</v>
      </c>
      <c r="D61" s="214">
        <v>9265362134</v>
      </c>
      <c r="E61" s="31" t="s">
        <v>41</v>
      </c>
      <c r="F61" s="32">
        <v>45482</v>
      </c>
      <c r="G61" s="39" t="s">
        <v>187</v>
      </c>
      <c r="H61" s="34" t="s">
        <v>185</v>
      </c>
      <c r="I61" s="71"/>
      <c r="J61" s="181">
        <f>IF(ISBLANK(C61),"",VLOOKUP(C61,'TOTAL S&amp;FEE '!$H$3:$I$15,2,0))</f>
        <v>7000</v>
      </c>
      <c r="K61" s="181">
        <f t="shared" si="8"/>
        <v>0</v>
      </c>
      <c r="L61" s="181">
        <f t="shared" si="6"/>
        <v>7000</v>
      </c>
      <c r="M61" s="182">
        <f>IF(ISBLANK(B61),"",SUMIF('FEE ENTRY'!$D$3:$D$202,B61,'FEE ENTRY'!$I$3:$I$202))</f>
        <v>1000</v>
      </c>
      <c r="N61" s="182">
        <f t="shared" si="7"/>
        <v>6000</v>
      </c>
      <c r="O61" s="183">
        <f t="shared" ref="O61:O86" si="9">IF(C61="K.G.",0,IF(C61="1st",1,IF(C61="2nd",2,IF(C61="3rd",3,IF(C61="4th",4,IF(C61="5th",5,IF(C61="6th",6,IF(C61="7th",7,IF(C61="8th",8,IF(C61="9th",9,IF(C61="10th",10,IF(C61="11th",11,IF(C61="12th",12,"")))))))))))))</f>
        <v>7</v>
      </c>
    </row>
    <row r="62" spans="1:15" s="174" customFormat="1" ht="18" customHeight="1">
      <c r="A62" s="30">
        <v>61</v>
      </c>
      <c r="B62" s="38" t="s">
        <v>188</v>
      </c>
      <c r="C62" s="30" t="s">
        <v>9</v>
      </c>
      <c r="D62" s="214">
        <v>9909397360</v>
      </c>
      <c r="E62" s="31" t="s">
        <v>41</v>
      </c>
      <c r="F62" s="32">
        <v>45483</v>
      </c>
      <c r="G62" s="39" t="s">
        <v>189</v>
      </c>
      <c r="H62" s="34" t="s">
        <v>190</v>
      </c>
      <c r="I62" s="71">
        <v>60.58</v>
      </c>
      <c r="J62" s="181">
        <f>IF(ISBLANK(C62),"",VLOOKUP(C62,'TOTAL S&amp;FEE '!$H$3:$I$15,2,0))</f>
        <v>9500</v>
      </c>
      <c r="K62" s="181">
        <f t="shared" si="8"/>
        <v>0</v>
      </c>
      <c r="L62" s="181">
        <f t="shared" si="6"/>
        <v>9500</v>
      </c>
      <c r="M62" s="182">
        <f>IF(ISBLANK(B62),"",SUMIF('FEE ENTRY'!$D$3:$D$202,B62,'FEE ENTRY'!$I$3:$I$202))</f>
        <v>2000</v>
      </c>
      <c r="N62" s="182">
        <f t="shared" si="7"/>
        <v>7500</v>
      </c>
      <c r="O62" s="183">
        <f t="shared" si="9"/>
        <v>9</v>
      </c>
    </row>
    <row r="63" spans="1:15" s="174" customFormat="1" ht="18" customHeight="1">
      <c r="A63" s="30">
        <v>62</v>
      </c>
      <c r="B63" s="38" t="s">
        <v>191</v>
      </c>
      <c r="C63" s="30" t="s">
        <v>0</v>
      </c>
      <c r="D63" s="214">
        <v>9727273030</v>
      </c>
      <c r="E63" s="31" t="s">
        <v>41</v>
      </c>
      <c r="F63" s="32">
        <v>45483</v>
      </c>
      <c r="G63" s="39" t="s">
        <v>192</v>
      </c>
      <c r="H63" s="34" t="s">
        <v>42</v>
      </c>
      <c r="I63" s="71">
        <v>82.88</v>
      </c>
      <c r="J63" s="181">
        <f>IF(ISBLANK(C63),"",VLOOKUP(C63,'TOTAL S&amp;FEE '!$H$3:$I$15,2,0))</f>
        <v>3000</v>
      </c>
      <c r="K63" s="181">
        <f t="shared" si="8"/>
        <v>0</v>
      </c>
      <c r="L63" s="181">
        <f t="shared" si="6"/>
        <v>3000</v>
      </c>
      <c r="M63" s="182">
        <f>IF(ISBLANK(B63),"",SUMIF('FEE ENTRY'!$D$3:$D$202,B63,'FEE ENTRY'!$I$3:$I$202))</f>
        <v>1500</v>
      </c>
      <c r="N63" s="182">
        <f t="shared" si="7"/>
        <v>1500</v>
      </c>
      <c r="O63" s="183">
        <f t="shared" si="9"/>
        <v>1</v>
      </c>
    </row>
    <row r="64" spans="1:15" s="174" customFormat="1" ht="18" customHeight="1">
      <c r="A64" s="30">
        <v>63</v>
      </c>
      <c r="B64" s="38" t="s">
        <v>195</v>
      </c>
      <c r="C64" s="30" t="s">
        <v>6</v>
      </c>
      <c r="D64" s="214">
        <v>9979409751</v>
      </c>
      <c r="E64" s="31" t="s">
        <v>41</v>
      </c>
      <c r="F64" s="32">
        <v>45486</v>
      </c>
      <c r="G64" s="39" t="s">
        <v>196</v>
      </c>
      <c r="H64" s="34" t="s">
        <v>77</v>
      </c>
      <c r="I64" s="71">
        <v>39</v>
      </c>
      <c r="J64" s="181">
        <f>IF(ISBLANK(C64),"",VLOOKUP(C64,'TOTAL S&amp;FEE '!$H$3:$I$15,2,0))</f>
        <v>12500</v>
      </c>
      <c r="K64" s="181">
        <f t="shared" si="8"/>
        <v>0</v>
      </c>
      <c r="L64" s="181">
        <f t="shared" si="6"/>
        <v>12500</v>
      </c>
      <c r="M64" s="182">
        <f>IF(ISBLANK(B64),"",SUMIF('FEE ENTRY'!$D$3:$D$202,B64,'FEE ENTRY'!$I$3:$I$202))</f>
        <v>6250</v>
      </c>
      <c r="N64" s="182">
        <f t="shared" si="7"/>
        <v>6250</v>
      </c>
      <c r="O64" s="183">
        <f t="shared" si="9"/>
        <v>10</v>
      </c>
    </row>
    <row r="65" spans="1:15" s="174" customFormat="1" ht="18" customHeight="1">
      <c r="A65" s="30"/>
      <c r="B65" s="38"/>
      <c r="C65" s="30"/>
      <c r="D65" s="214"/>
      <c r="E65" s="31"/>
      <c r="F65" s="32"/>
      <c r="G65" s="39"/>
      <c r="H65" s="34"/>
      <c r="I65" s="71"/>
      <c r="J65" s="181" t="str">
        <f>IF(ISBLANK(C65),"",VLOOKUP(C65,'TOTAL S&amp;FEE '!$H$3:$I$15,2,0))</f>
        <v/>
      </c>
      <c r="K65" s="181" t="str">
        <f t="shared" si="8"/>
        <v/>
      </c>
      <c r="L65" s="181" t="str">
        <f t="shared" si="6"/>
        <v/>
      </c>
      <c r="M65" s="182" t="str">
        <f>IF(ISBLANK(B65),"",SUMIF('FEE ENTRY'!$D$3:$D$202,B65,'FEE ENTRY'!$I$3:$I$202))</f>
        <v/>
      </c>
      <c r="N65" s="182" t="str">
        <f t="shared" si="7"/>
        <v/>
      </c>
      <c r="O65" s="183" t="str">
        <f t="shared" si="9"/>
        <v/>
      </c>
    </row>
    <row r="66" spans="1:15" s="174" customFormat="1" ht="18" customHeight="1">
      <c r="A66" s="30"/>
      <c r="B66" s="38"/>
      <c r="C66" s="30"/>
      <c r="D66" s="214"/>
      <c r="E66" s="31"/>
      <c r="F66" s="32"/>
      <c r="G66" s="39"/>
      <c r="H66" s="34"/>
      <c r="I66" s="71"/>
      <c r="J66" s="181" t="str">
        <f>IF(ISBLANK(C66),"",VLOOKUP(C66,'TOTAL S&amp;FEE '!$H$3:$I$15,2,0))</f>
        <v/>
      </c>
      <c r="K66" s="181" t="str">
        <f t="shared" si="8"/>
        <v/>
      </c>
      <c r="L66" s="181" t="str">
        <f t="shared" si="6"/>
        <v/>
      </c>
      <c r="M66" s="182" t="str">
        <f>IF(ISBLANK(B66),"",SUMIF('FEE ENTRY'!$D$3:$D$202,B66,'FEE ENTRY'!$I$3:$I$202))</f>
        <v/>
      </c>
      <c r="N66" s="182" t="str">
        <f t="shared" si="7"/>
        <v/>
      </c>
      <c r="O66" s="183" t="str">
        <f t="shared" si="9"/>
        <v/>
      </c>
    </row>
    <row r="67" spans="1:15" s="174" customFormat="1" ht="18" customHeight="1">
      <c r="A67" s="30"/>
      <c r="B67" s="38"/>
      <c r="C67" s="30"/>
      <c r="D67" s="214"/>
      <c r="E67" s="31"/>
      <c r="F67" s="32"/>
      <c r="G67" s="39"/>
      <c r="H67" s="34"/>
      <c r="I67" s="71"/>
      <c r="J67" s="181" t="str">
        <f>IF(ISBLANK(C67),"",VLOOKUP(C67,'TOTAL S&amp;FEE '!$H$3:$I$15,2,0))</f>
        <v/>
      </c>
      <c r="K67" s="181" t="str">
        <f t="shared" si="8"/>
        <v/>
      </c>
      <c r="L67" s="181" t="str">
        <f t="shared" si="6"/>
        <v/>
      </c>
      <c r="M67" s="182" t="str">
        <f>IF(ISBLANK(B67),"",SUMIF('FEE ENTRY'!$D$3:$D$202,B67,'FEE ENTRY'!$I$3:$I$202))</f>
        <v/>
      </c>
      <c r="N67" s="182" t="str">
        <f t="shared" si="7"/>
        <v/>
      </c>
      <c r="O67" s="183" t="str">
        <f t="shared" si="9"/>
        <v/>
      </c>
    </row>
    <row r="68" spans="1:15" s="174" customFormat="1" ht="18" customHeight="1">
      <c r="A68" s="30"/>
      <c r="B68" s="38"/>
      <c r="C68" s="30"/>
      <c r="D68" s="214"/>
      <c r="E68" s="31"/>
      <c r="F68" s="32"/>
      <c r="G68" s="39"/>
      <c r="H68" s="34"/>
      <c r="I68" s="71"/>
      <c r="J68" s="181" t="str">
        <f>IF(ISBLANK(C68),"",VLOOKUP(C68,'TOTAL S&amp;FEE '!$H$3:$I$15,2,0))</f>
        <v/>
      </c>
      <c r="K68" s="181" t="str">
        <f t="shared" si="8"/>
        <v/>
      </c>
      <c r="L68" s="181" t="str">
        <f t="shared" si="6"/>
        <v/>
      </c>
      <c r="M68" s="182" t="str">
        <f>IF(ISBLANK(B68),"",SUMIF('FEE ENTRY'!$D$3:$D$202,B68,'FEE ENTRY'!$I$3:$I$202))</f>
        <v/>
      </c>
      <c r="N68" s="182" t="str">
        <f t="shared" si="7"/>
        <v/>
      </c>
      <c r="O68" s="183" t="str">
        <f t="shared" si="9"/>
        <v/>
      </c>
    </row>
    <row r="69" spans="1:15" s="174" customFormat="1" ht="18" customHeight="1">
      <c r="A69" s="30"/>
      <c r="B69" s="38"/>
      <c r="C69" s="30"/>
      <c r="D69" s="214"/>
      <c r="E69" s="31"/>
      <c r="F69" s="32"/>
      <c r="G69" s="39"/>
      <c r="H69" s="34"/>
      <c r="I69" s="71"/>
      <c r="J69" s="181" t="str">
        <f>IF(ISBLANK(C69),"",VLOOKUP(C69,'TOTAL S&amp;FEE '!$H$3:$I$15,2,0))</f>
        <v/>
      </c>
      <c r="K69" s="181" t="str">
        <f t="shared" si="8"/>
        <v/>
      </c>
      <c r="L69" s="181" t="str">
        <f t="shared" si="6"/>
        <v/>
      </c>
      <c r="M69" s="182" t="str">
        <f>IF(ISBLANK(B69),"",SUMIF('FEE ENTRY'!$D$3:$D$202,B69,'FEE ENTRY'!$I$3:$I$202))</f>
        <v/>
      </c>
      <c r="N69" s="182" t="str">
        <f t="shared" si="7"/>
        <v/>
      </c>
      <c r="O69" s="183" t="str">
        <f t="shared" si="9"/>
        <v/>
      </c>
    </row>
    <row r="70" spans="1:15" s="174" customFormat="1" ht="18" customHeight="1">
      <c r="A70" s="30"/>
      <c r="B70" s="38"/>
      <c r="C70" s="30"/>
      <c r="D70" s="214"/>
      <c r="E70" s="31"/>
      <c r="F70" s="32"/>
      <c r="G70" s="39"/>
      <c r="H70" s="34"/>
      <c r="I70" s="71"/>
      <c r="J70" s="181" t="str">
        <f>IF(ISBLANK(C70),"",VLOOKUP(C70,'TOTAL S&amp;FEE '!$H$3:$I$15,2,0))</f>
        <v/>
      </c>
      <c r="K70" s="181" t="str">
        <f t="shared" si="8"/>
        <v/>
      </c>
      <c r="L70" s="181" t="str">
        <f t="shared" si="6"/>
        <v/>
      </c>
      <c r="M70" s="182" t="str">
        <f>IF(ISBLANK(B70),"",SUMIF('FEE ENTRY'!$D$3:$D$202,B70,'FEE ENTRY'!$I$3:$I$202))</f>
        <v/>
      </c>
      <c r="N70" s="182" t="str">
        <f t="shared" si="7"/>
        <v/>
      </c>
      <c r="O70" s="183" t="str">
        <f t="shared" si="9"/>
        <v/>
      </c>
    </row>
    <row r="71" spans="1:15" s="174" customFormat="1" ht="18" customHeight="1">
      <c r="A71" s="30"/>
      <c r="B71" s="38"/>
      <c r="C71" s="30"/>
      <c r="D71" s="214"/>
      <c r="E71" s="31"/>
      <c r="F71" s="32"/>
      <c r="G71" s="39"/>
      <c r="H71" s="34"/>
      <c r="I71" s="71"/>
      <c r="J71" s="181" t="str">
        <f>IF(ISBLANK(C71),"",VLOOKUP(C71,'TOTAL S&amp;FEE '!$H$3:$I$15,2,0))</f>
        <v/>
      </c>
      <c r="K71" s="181" t="str">
        <f t="shared" si="8"/>
        <v/>
      </c>
      <c r="L71" s="181" t="str">
        <f t="shared" si="6"/>
        <v/>
      </c>
      <c r="M71" s="182" t="str">
        <f>IF(ISBLANK(B71),"",SUMIF('FEE ENTRY'!$D$3:$D$202,B71,'FEE ENTRY'!$I$3:$I$202))</f>
        <v/>
      </c>
      <c r="N71" s="182" t="str">
        <f t="shared" si="7"/>
        <v/>
      </c>
      <c r="O71" s="183" t="str">
        <f t="shared" si="9"/>
        <v/>
      </c>
    </row>
    <row r="72" spans="1:15" s="174" customFormat="1" ht="18" customHeight="1">
      <c r="A72" s="30"/>
      <c r="B72" s="38"/>
      <c r="C72" s="30"/>
      <c r="D72" s="214"/>
      <c r="E72" s="31"/>
      <c r="F72" s="32"/>
      <c r="G72" s="39"/>
      <c r="H72" s="34"/>
      <c r="I72" s="71"/>
      <c r="J72" s="181" t="str">
        <f>IF(ISBLANK(C72),"",VLOOKUP(C72,'TOTAL S&amp;FEE '!$H$3:$I$15,2,0))</f>
        <v/>
      </c>
      <c r="K72" s="181" t="str">
        <f t="shared" si="8"/>
        <v/>
      </c>
      <c r="L72" s="181" t="str">
        <f t="shared" si="6"/>
        <v/>
      </c>
      <c r="M72" s="182" t="str">
        <f>IF(ISBLANK(B72),"",SUMIF('FEE ENTRY'!$D$3:$D$202,B72,'FEE ENTRY'!$I$3:$I$202))</f>
        <v/>
      </c>
      <c r="N72" s="182" t="str">
        <f t="shared" si="7"/>
        <v/>
      </c>
      <c r="O72" s="183" t="str">
        <f t="shared" si="9"/>
        <v/>
      </c>
    </row>
    <row r="73" spans="1:15" s="174" customFormat="1" ht="18" customHeight="1">
      <c r="A73" s="30"/>
      <c r="B73" s="38"/>
      <c r="C73" s="30"/>
      <c r="D73" s="214"/>
      <c r="E73" s="31"/>
      <c r="F73" s="32"/>
      <c r="G73" s="39"/>
      <c r="H73" s="34"/>
      <c r="I73" s="71"/>
      <c r="J73" s="181" t="str">
        <f>IF(ISBLANK(C73),"",VLOOKUP(C73,'TOTAL S&amp;FEE '!$H$3:$I$15,2,0))</f>
        <v/>
      </c>
      <c r="K73" s="181" t="str">
        <f t="shared" si="8"/>
        <v/>
      </c>
      <c r="L73" s="181" t="str">
        <f t="shared" si="6"/>
        <v/>
      </c>
      <c r="M73" s="182" t="str">
        <f>IF(ISBLANK(B73),"",SUMIF('FEE ENTRY'!$D$3:$D$202,B73,'FEE ENTRY'!$I$3:$I$202))</f>
        <v/>
      </c>
      <c r="N73" s="182" t="str">
        <f t="shared" si="7"/>
        <v/>
      </c>
      <c r="O73" s="183" t="str">
        <f t="shared" si="9"/>
        <v/>
      </c>
    </row>
    <row r="74" spans="1:15" s="174" customFormat="1" ht="18" customHeight="1">
      <c r="A74" s="30"/>
      <c r="B74" s="38"/>
      <c r="C74" s="30"/>
      <c r="D74" s="214"/>
      <c r="E74" s="31"/>
      <c r="F74" s="32"/>
      <c r="G74" s="39"/>
      <c r="H74" s="34"/>
      <c r="I74" s="71"/>
      <c r="J74" s="181" t="str">
        <f>IF(ISBLANK(C74),"",VLOOKUP(C74,'TOTAL S&amp;FEE '!$H$3:$I$15,2,0))</f>
        <v/>
      </c>
      <c r="K74" s="181" t="str">
        <f t="shared" si="8"/>
        <v/>
      </c>
      <c r="L74" s="181" t="str">
        <f t="shared" si="6"/>
        <v/>
      </c>
      <c r="M74" s="182" t="str">
        <f>IF(ISBLANK(B74),"",SUMIF('FEE ENTRY'!$D$3:$D$202,B74,'FEE ENTRY'!$I$3:$I$202))</f>
        <v/>
      </c>
      <c r="N74" s="182" t="str">
        <f t="shared" si="7"/>
        <v/>
      </c>
      <c r="O74" s="183" t="str">
        <f t="shared" si="9"/>
        <v/>
      </c>
    </row>
    <row r="75" spans="1:15" s="174" customFormat="1" ht="18" customHeight="1">
      <c r="A75" s="30"/>
      <c r="B75" s="38"/>
      <c r="C75" s="30"/>
      <c r="D75" s="214"/>
      <c r="E75" s="31"/>
      <c r="F75" s="32"/>
      <c r="G75" s="39"/>
      <c r="H75" s="34"/>
      <c r="I75" s="71"/>
      <c r="J75" s="181" t="str">
        <f>IF(ISBLANK(C75),"",VLOOKUP(C75,'TOTAL S&amp;FEE '!$H$3:$I$15,2,0))</f>
        <v/>
      </c>
      <c r="K75" s="181" t="str">
        <f t="shared" si="8"/>
        <v/>
      </c>
      <c r="L75" s="181" t="str">
        <f t="shared" si="6"/>
        <v/>
      </c>
      <c r="M75" s="182" t="str">
        <f>IF(ISBLANK(B75),"",SUMIF('FEE ENTRY'!$D$3:$D$202,B75,'FEE ENTRY'!$I$3:$I$202))</f>
        <v/>
      </c>
      <c r="N75" s="182" t="str">
        <f t="shared" si="7"/>
        <v/>
      </c>
      <c r="O75" s="183" t="str">
        <f t="shared" si="9"/>
        <v/>
      </c>
    </row>
    <row r="76" spans="1:15" s="174" customFormat="1" ht="18" customHeight="1">
      <c r="A76" s="30"/>
      <c r="B76" s="38"/>
      <c r="C76" s="30"/>
      <c r="D76" s="214"/>
      <c r="E76" s="31"/>
      <c r="F76" s="32"/>
      <c r="G76" s="39"/>
      <c r="H76" s="34"/>
      <c r="I76" s="71"/>
      <c r="J76" s="181" t="str">
        <f>IF(ISBLANK(C76),"",VLOOKUP(C76,'TOTAL S&amp;FEE '!$H$3:$I$15,2,0))</f>
        <v/>
      </c>
      <c r="K76" s="181" t="str">
        <f t="shared" si="8"/>
        <v/>
      </c>
      <c r="L76" s="181" t="str">
        <f t="shared" si="6"/>
        <v/>
      </c>
      <c r="M76" s="182" t="str">
        <f>IF(ISBLANK(B76),"",SUMIF('FEE ENTRY'!$D$3:$D$202,B76,'FEE ENTRY'!$I$3:$I$202))</f>
        <v/>
      </c>
      <c r="N76" s="182" t="str">
        <f t="shared" si="7"/>
        <v/>
      </c>
      <c r="O76" s="183" t="str">
        <f t="shared" si="9"/>
        <v/>
      </c>
    </row>
    <row r="77" spans="1:15" s="174" customFormat="1" ht="18" customHeight="1">
      <c r="A77" s="30"/>
      <c r="B77" s="38"/>
      <c r="C77" s="30"/>
      <c r="D77" s="214"/>
      <c r="E77" s="31"/>
      <c r="F77" s="32"/>
      <c r="G77" s="39"/>
      <c r="H77" s="34"/>
      <c r="I77" s="71"/>
      <c r="J77" s="181" t="str">
        <f>IF(ISBLANK(C77),"",VLOOKUP(C77,'TOTAL S&amp;FEE '!$H$3:$I$15,2,0))</f>
        <v/>
      </c>
      <c r="K77" s="181" t="str">
        <f t="shared" si="8"/>
        <v/>
      </c>
      <c r="L77" s="181" t="str">
        <f t="shared" si="6"/>
        <v/>
      </c>
      <c r="M77" s="182" t="str">
        <f>IF(ISBLANK(B77),"",SUMIF('FEE ENTRY'!$D$3:$D$202,B77,'FEE ENTRY'!$I$3:$I$202))</f>
        <v/>
      </c>
      <c r="N77" s="182" t="str">
        <f t="shared" si="7"/>
        <v/>
      </c>
      <c r="O77" s="183" t="str">
        <f t="shared" si="9"/>
        <v/>
      </c>
    </row>
    <row r="78" spans="1:15" s="174" customFormat="1" ht="18" customHeight="1">
      <c r="A78" s="30"/>
      <c r="B78" s="38"/>
      <c r="C78" s="30"/>
      <c r="D78" s="214"/>
      <c r="E78" s="31"/>
      <c r="F78" s="32"/>
      <c r="G78" s="39"/>
      <c r="H78" s="34"/>
      <c r="I78" s="71"/>
      <c r="J78" s="181" t="str">
        <f>IF(ISBLANK(C78),"",VLOOKUP(C78,'TOTAL S&amp;FEE '!$H$3:$I$15,2,0))</f>
        <v/>
      </c>
      <c r="K78" s="181" t="str">
        <f t="shared" si="8"/>
        <v/>
      </c>
      <c r="L78" s="181" t="str">
        <f t="shared" si="6"/>
        <v/>
      </c>
      <c r="M78" s="182" t="str">
        <f>IF(ISBLANK(B78),"",SUMIF('FEE ENTRY'!$D$3:$D$202,B78,'FEE ENTRY'!$I$3:$I$202))</f>
        <v/>
      </c>
      <c r="N78" s="182" t="str">
        <f t="shared" si="7"/>
        <v/>
      </c>
      <c r="O78" s="183" t="str">
        <f t="shared" si="9"/>
        <v/>
      </c>
    </row>
    <row r="79" spans="1:15" s="174" customFormat="1" ht="18" customHeight="1">
      <c r="A79" s="30"/>
      <c r="B79" s="38"/>
      <c r="C79" s="30"/>
      <c r="D79" s="214"/>
      <c r="E79" s="31"/>
      <c r="F79" s="32"/>
      <c r="G79" s="39"/>
      <c r="H79" s="34"/>
      <c r="I79" s="71"/>
      <c r="J79" s="181" t="str">
        <f>IF(ISBLANK(C79),"",VLOOKUP(C79,'TOTAL S&amp;FEE '!$H$3:$I$15,2,0))</f>
        <v/>
      </c>
      <c r="K79" s="181" t="str">
        <f t="shared" si="8"/>
        <v/>
      </c>
      <c r="L79" s="181" t="str">
        <f t="shared" si="6"/>
        <v/>
      </c>
      <c r="M79" s="182" t="str">
        <f>IF(ISBLANK(B79),"",SUMIF('FEE ENTRY'!$D$3:$D$202,B79,'FEE ENTRY'!$I$3:$I$202))</f>
        <v/>
      </c>
      <c r="N79" s="182" t="str">
        <f t="shared" si="7"/>
        <v/>
      </c>
      <c r="O79" s="183" t="str">
        <f t="shared" si="9"/>
        <v/>
      </c>
    </row>
    <row r="80" spans="1:15" s="174" customFormat="1" ht="18" customHeight="1">
      <c r="A80" s="30"/>
      <c r="B80" s="38"/>
      <c r="C80" s="30"/>
      <c r="D80" s="214"/>
      <c r="E80" s="31"/>
      <c r="F80" s="32"/>
      <c r="G80" s="39"/>
      <c r="H80" s="34"/>
      <c r="I80" s="71"/>
      <c r="J80" s="181" t="str">
        <f>IF(ISBLANK(C80),"",VLOOKUP(C80,'TOTAL S&amp;FEE '!$H$3:$I$15,2,0))</f>
        <v/>
      </c>
      <c r="K80" s="181" t="str">
        <f t="shared" si="8"/>
        <v/>
      </c>
      <c r="L80" s="181" t="str">
        <f t="shared" si="6"/>
        <v/>
      </c>
      <c r="M80" s="182" t="str">
        <f>IF(ISBLANK(B80),"",SUMIF('FEE ENTRY'!$D$3:$D$202,B80,'FEE ENTRY'!$I$3:$I$202))</f>
        <v/>
      </c>
      <c r="N80" s="182" t="str">
        <f t="shared" si="7"/>
        <v/>
      </c>
      <c r="O80" s="183" t="str">
        <f t="shared" si="9"/>
        <v/>
      </c>
    </row>
    <row r="81" spans="1:15" s="174" customFormat="1" ht="18" customHeight="1">
      <c r="A81" s="30"/>
      <c r="B81" s="38"/>
      <c r="C81" s="30"/>
      <c r="D81" s="214"/>
      <c r="E81" s="31"/>
      <c r="F81" s="32"/>
      <c r="G81" s="39"/>
      <c r="H81" s="34"/>
      <c r="I81" s="71"/>
      <c r="J81" s="181" t="str">
        <f>IF(ISBLANK(C81),"",VLOOKUP(C81,'TOTAL S&amp;FEE '!$H$3:$I$15,2,0))</f>
        <v/>
      </c>
      <c r="K81" s="181" t="str">
        <f t="shared" si="8"/>
        <v/>
      </c>
      <c r="L81" s="181" t="str">
        <f t="shared" si="6"/>
        <v/>
      </c>
      <c r="M81" s="182" t="str">
        <f>IF(ISBLANK(B81),"",SUMIF('FEE ENTRY'!$D$3:$D$202,B81,'FEE ENTRY'!$I$3:$I$202))</f>
        <v/>
      </c>
      <c r="N81" s="182" t="str">
        <f t="shared" si="7"/>
        <v/>
      </c>
      <c r="O81" s="183" t="str">
        <f t="shared" si="9"/>
        <v/>
      </c>
    </row>
    <row r="82" spans="1:15" s="174" customFormat="1" ht="18" customHeight="1">
      <c r="A82" s="30"/>
      <c r="B82" s="38"/>
      <c r="C82" s="30"/>
      <c r="D82" s="214"/>
      <c r="E82" s="31"/>
      <c r="F82" s="32"/>
      <c r="G82" s="39"/>
      <c r="H82" s="34"/>
      <c r="I82" s="71"/>
      <c r="J82" s="181" t="str">
        <f>IF(ISBLANK(C82),"",VLOOKUP(C82,'TOTAL S&amp;FEE '!$H$3:$I$15,2,0))</f>
        <v/>
      </c>
      <c r="K82" s="181" t="str">
        <f t="shared" si="8"/>
        <v/>
      </c>
      <c r="L82" s="181" t="str">
        <f t="shared" si="6"/>
        <v/>
      </c>
      <c r="M82" s="182" t="str">
        <f>IF(ISBLANK(B82),"",SUMIF('FEE ENTRY'!$D$3:$D$202,B82,'FEE ENTRY'!$I$3:$I$202))</f>
        <v/>
      </c>
      <c r="N82" s="182" t="str">
        <f t="shared" si="7"/>
        <v/>
      </c>
      <c r="O82" s="183" t="str">
        <f t="shared" si="9"/>
        <v/>
      </c>
    </row>
    <row r="83" spans="1:15" s="174" customFormat="1" ht="18" customHeight="1">
      <c r="A83" s="30"/>
      <c r="B83" s="38"/>
      <c r="C83" s="30"/>
      <c r="D83" s="214"/>
      <c r="E83" s="31"/>
      <c r="F83" s="32"/>
      <c r="G83" s="39"/>
      <c r="H83" s="34"/>
      <c r="I83" s="71"/>
      <c r="J83" s="181" t="str">
        <f>IF(ISBLANK(C83),"",VLOOKUP(C83,'TOTAL S&amp;FEE '!$H$3:$I$15,2,0))</f>
        <v/>
      </c>
      <c r="K83" s="181" t="str">
        <f t="shared" si="8"/>
        <v/>
      </c>
      <c r="L83" s="181" t="str">
        <f t="shared" si="6"/>
        <v/>
      </c>
      <c r="M83" s="182" t="str">
        <f>IF(ISBLANK(B83),"",SUMIF('FEE ENTRY'!$D$3:$D$202,B83,'FEE ENTRY'!$I$3:$I$202))</f>
        <v/>
      </c>
      <c r="N83" s="182" t="str">
        <f t="shared" si="7"/>
        <v/>
      </c>
      <c r="O83" s="183" t="str">
        <f t="shared" si="9"/>
        <v/>
      </c>
    </row>
    <row r="84" spans="1:15" s="174" customFormat="1" ht="18" customHeight="1">
      <c r="A84" s="30"/>
      <c r="B84" s="38"/>
      <c r="C84" s="30"/>
      <c r="D84" s="214"/>
      <c r="E84" s="31"/>
      <c r="F84" s="32"/>
      <c r="G84" s="39"/>
      <c r="H84" s="34"/>
      <c r="I84" s="71"/>
      <c r="J84" s="181" t="str">
        <f>IF(ISBLANK(C84),"",VLOOKUP(C84,'TOTAL S&amp;FEE '!$H$3:$I$15,2,0))</f>
        <v/>
      </c>
      <c r="K84" s="181" t="str">
        <f t="shared" si="8"/>
        <v/>
      </c>
      <c r="L84" s="181" t="str">
        <f t="shared" si="6"/>
        <v/>
      </c>
      <c r="M84" s="182" t="str">
        <f>IF(ISBLANK(B84),"",SUMIF('FEE ENTRY'!$D$3:$D$202,B84,'FEE ENTRY'!$I$3:$I$202))</f>
        <v/>
      </c>
      <c r="N84" s="182" t="str">
        <f t="shared" si="7"/>
        <v/>
      </c>
      <c r="O84" s="183" t="str">
        <f t="shared" si="9"/>
        <v/>
      </c>
    </row>
    <row r="85" spans="1:15" s="174" customFormat="1" ht="18" customHeight="1">
      <c r="A85" s="30"/>
      <c r="B85" s="38"/>
      <c r="C85" s="30"/>
      <c r="D85" s="214"/>
      <c r="E85" s="31"/>
      <c r="F85" s="32"/>
      <c r="G85" s="39"/>
      <c r="H85" s="34"/>
      <c r="I85" s="71"/>
      <c r="J85" s="181" t="str">
        <f>IF(ISBLANK(C85),"",VLOOKUP(C85,'TOTAL S&amp;FEE '!$H$3:$I$15,2,0))</f>
        <v/>
      </c>
      <c r="K85" s="181" t="str">
        <f t="shared" si="8"/>
        <v/>
      </c>
      <c r="L85" s="181" t="str">
        <f t="shared" si="6"/>
        <v/>
      </c>
      <c r="M85" s="182" t="str">
        <f>IF(ISBLANK(B85),"",SUMIF('FEE ENTRY'!$D$3:$D$202,B85,'FEE ENTRY'!$I$3:$I$202))</f>
        <v/>
      </c>
      <c r="N85" s="182" t="str">
        <f t="shared" si="7"/>
        <v/>
      </c>
      <c r="O85" s="183" t="str">
        <f t="shared" si="9"/>
        <v/>
      </c>
    </row>
    <row r="86" spans="1:15" s="174" customFormat="1" ht="18" customHeight="1">
      <c r="A86" s="30"/>
      <c r="B86" s="38"/>
      <c r="C86" s="30"/>
      <c r="D86" s="214"/>
      <c r="E86" s="31"/>
      <c r="F86" s="32"/>
      <c r="G86" s="39"/>
      <c r="H86" s="34"/>
      <c r="I86" s="71"/>
      <c r="J86" s="181" t="str">
        <f>IF(ISBLANK(C86),"",VLOOKUP(C86,'TOTAL S&amp;FEE '!$H$3:$I$15,2,0))</f>
        <v/>
      </c>
      <c r="K86" s="181" t="str">
        <f t="shared" si="8"/>
        <v/>
      </c>
      <c r="L86" s="181" t="str">
        <f t="shared" si="6"/>
        <v/>
      </c>
      <c r="M86" s="182" t="str">
        <f>IF(ISBLANK(B86),"",SUMIF('FEE ENTRY'!$D$3:$D$202,B86,'FEE ENTRY'!$I$3:$I$202))</f>
        <v/>
      </c>
      <c r="N86" s="182" t="str">
        <f t="shared" si="7"/>
        <v/>
      </c>
      <c r="O86" s="183" t="str">
        <f t="shared" si="9"/>
        <v/>
      </c>
    </row>
    <row r="87" spans="1:15" s="174" customFormat="1" ht="18" customHeight="1">
      <c r="A87" s="30"/>
      <c r="B87" s="38"/>
      <c r="C87" s="30"/>
      <c r="D87" s="214"/>
      <c r="E87" s="31"/>
      <c r="F87" s="32"/>
      <c r="G87" s="39"/>
      <c r="H87" s="34"/>
      <c r="I87" s="71"/>
      <c r="J87" s="181" t="str">
        <f>IF(ISBLANK(C87),"",VLOOKUP(C87,'TOTAL S&amp;FEE '!$H$3:$I$15,2,0))</f>
        <v/>
      </c>
      <c r="K87" s="181" t="str">
        <f t="shared" si="8"/>
        <v/>
      </c>
      <c r="L87" s="181" t="str">
        <f t="shared" si="6"/>
        <v/>
      </c>
      <c r="M87" s="182" t="str">
        <f>IF(ISBLANK(B87),"",SUMIF('FEE ENTRY'!$D$3:$D$202,B87,'FEE ENTRY'!$I$3:$I$202))</f>
        <v/>
      </c>
      <c r="N87" s="182" t="str">
        <f t="shared" si="7"/>
        <v/>
      </c>
      <c r="O87" s="177"/>
    </row>
    <row r="88" spans="1:15" s="174" customFormat="1" ht="18" customHeight="1" thickBot="1">
      <c r="A88" s="30"/>
      <c r="B88" s="38"/>
      <c r="C88" s="30"/>
      <c r="D88" s="214"/>
      <c r="E88" s="31"/>
      <c r="F88" s="32"/>
      <c r="G88" s="39"/>
      <c r="H88" s="34"/>
      <c r="I88" s="71"/>
      <c r="J88" s="181" t="str">
        <f>IF(ISBLANK(C88),"",VLOOKUP(C88,'TOTAL S&amp;FEE '!$H$3:$I$15,2,0))</f>
        <v/>
      </c>
      <c r="K88" s="181" t="str">
        <f t="shared" si="8"/>
        <v/>
      </c>
      <c r="L88" s="181" t="str">
        <f t="shared" si="6"/>
        <v/>
      </c>
      <c r="M88" s="182" t="str">
        <f>IF(ISBLANK(B88),"",SUMIF('FEE ENTRY'!$D$3:$D$202,B88,'FEE ENTRY'!$I$3:$I$202))</f>
        <v/>
      </c>
      <c r="N88" s="182" t="str">
        <f t="shared" si="7"/>
        <v/>
      </c>
      <c r="O88" s="10"/>
    </row>
    <row r="89" spans="1:15" s="174" customFormat="1" ht="18" customHeight="1" thickBot="1">
      <c r="A89" s="30"/>
      <c r="B89" s="25"/>
      <c r="C89" s="24"/>
      <c r="D89" s="216"/>
      <c r="E89" s="26"/>
      <c r="F89" s="27"/>
      <c r="G89" s="28"/>
      <c r="H89" s="29"/>
      <c r="I89" s="72" t="s">
        <v>16</v>
      </c>
      <c r="J89" s="184">
        <f>SUBTOTAL(9,J2:J88)</f>
        <v>571500</v>
      </c>
      <c r="K89" s="184">
        <f>SUBTOTAL(9,K2:K88)</f>
        <v>18600</v>
      </c>
      <c r="L89" s="184">
        <f>SUBTOTAL(9,L2:L88)</f>
        <v>552900</v>
      </c>
      <c r="M89" s="184">
        <f>SUBTOTAL(9,M2:M88)</f>
        <v>82750</v>
      </c>
      <c r="N89" s="184">
        <f>SUBTOTAL(9,N2:N88)</f>
        <v>470150</v>
      </c>
      <c r="O89" s="10"/>
    </row>
    <row r="90" spans="1:15" s="174" customFormat="1" ht="18" customHeight="1">
      <c r="A90" s="30"/>
      <c r="B90" s="56"/>
      <c r="C90" s="57"/>
      <c r="D90" s="217"/>
      <c r="E90" s="58"/>
      <c r="F90" s="59"/>
      <c r="G90" s="60"/>
      <c r="H90" s="61"/>
      <c r="I90" s="73"/>
      <c r="J90" s="178"/>
      <c r="K90" s="178"/>
      <c r="L90" s="178"/>
      <c r="M90" s="179"/>
      <c r="N90" s="10"/>
      <c r="O90" s="10"/>
    </row>
    <row r="91" spans="1:15" s="174" customFormat="1" ht="18" customHeight="1">
      <c r="A91" s="30"/>
      <c r="B91" s="56"/>
      <c r="C91" s="57"/>
      <c r="D91" s="217"/>
      <c r="E91" s="58"/>
      <c r="F91" s="59"/>
      <c r="G91" s="60"/>
      <c r="H91" s="61"/>
      <c r="I91" s="73"/>
      <c r="J91" s="178"/>
      <c r="K91" s="178"/>
      <c r="L91" s="178"/>
      <c r="M91" s="179"/>
      <c r="N91" s="10"/>
      <c r="O91" s="10"/>
    </row>
    <row r="92" spans="1:15" s="174" customFormat="1" ht="18" customHeight="1">
      <c r="A92" s="30"/>
      <c r="B92" s="56"/>
      <c r="C92" s="57"/>
      <c r="D92" s="217"/>
      <c r="E92" s="58"/>
      <c r="F92" s="59"/>
      <c r="G92" s="60"/>
      <c r="H92" s="61"/>
      <c r="I92" s="73"/>
      <c r="J92" s="178"/>
      <c r="K92" s="178"/>
      <c r="L92" s="178"/>
      <c r="M92" s="179"/>
      <c r="N92" s="10"/>
      <c r="O92" s="10"/>
    </row>
    <row r="93" spans="1:15" s="174" customFormat="1" ht="18" customHeight="1">
      <c r="A93" s="30"/>
      <c r="B93" s="56"/>
      <c r="C93" s="57"/>
      <c r="D93" s="217"/>
      <c r="E93" s="58"/>
      <c r="F93" s="59"/>
      <c r="G93" s="60"/>
      <c r="H93" s="61"/>
      <c r="I93" s="73"/>
      <c r="J93" s="178"/>
      <c r="K93" s="178"/>
      <c r="L93" s="178"/>
      <c r="M93" s="179"/>
      <c r="N93" s="10"/>
      <c r="O93" s="10"/>
    </row>
    <row r="94" spans="1:15" s="177" customFormat="1" ht="18" customHeight="1">
      <c r="A94"/>
      <c r="B94" s="56"/>
      <c r="C94" s="57"/>
      <c r="D94" s="217"/>
      <c r="E94" s="58"/>
      <c r="F94" s="59"/>
      <c r="G94" s="60"/>
      <c r="H94" s="61"/>
      <c r="I94" s="73"/>
      <c r="J94" s="178"/>
      <c r="K94" s="178"/>
      <c r="L94" s="178"/>
      <c r="M94" s="179"/>
      <c r="N94" s="10"/>
      <c r="O94" s="10"/>
    </row>
  </sheetData>
  <sheetProtection selectLockedCells="1"/>
  <autoFilter ref="A1:O88" xr:uid="{530044E2-5F89-446D-BB13-D425F1CE629B}"/>
  <sortState xmlns:xlrd2="http://schemas.microsoft.com/office/spreadsheetml/2017/richdata2" ref="B2:O92">
    <sortCondition ref="O2:O92"/>
  </sortState>
  <phoneticPr fontId="8" type="noConversion"/>
  <dataValidations disablePrompts="1" count="2">
    <dataValidation type="list" allowBlank="1" showInputMessage="1" showErrorMessage="1" sqref="C2:C88" xr:uid="{06BA2F47-5E01-47A8-8547-1085D3ECFD8F}">
      <formula1>"K.G.,1st,2nd,3rd,4th,5th,6th,7th,8th,9th,10th,11th,12th"</formula1>
    </dataValidation>
    <dataValidation type="list" allowBlank="1" showInputMessage="1" showErrorMessage="1" sqref="E1:E1048576" xr:uid="{C896482F-667E-422E-B528-9F87F48B60DA}">
      <formula1>"Girl,Boy"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60:A64 A66:A89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20CA-7D87-4D41-BC60-7ADA30474B4A}">
  <sheetPr codeName="Sheet2"/>
  <dimension ref="A1:R203"/>
  <sheetViews>
    <sheetView zoomScale="90" zoomScaleNormal="90" workbookViewId="0">
      <pane xSplit="4" ySplit="2" topLeftCell="J3" activePane="bottomRight" state="frozen"/>
      <selection pane="topRight" activeCell="E1" sqref="E1"/>
      <selection pane="bottomLeft" activeCell="A3" sqref="A3"/>
      <selection pane="bottomRight" activeCell="N6" sqref="N6"/>
    </sheetView>
  </sheetViews>
  <sheetFormatPr defaultRowHeight="14.25"/>
  <cols>
    <col min="1" max="1" width="10.875" style="10" bestFit="1" customWidth="1"/>
    <col min="2" max="2" width="13.875" style="221" customWidth="1"/>
    <col min="3" max="3" width="5.875" style="50" bestFit="1" customWidth="1"/>
    <col min="4" max="4" width="37.875" style="10" customWidth="1"/>
    <col min="5" max="5" width="9" style="187" bestFit="1" customWidth="1"/>
    <col min="6" max="6" width="8.375" style="187" bestFit="1" customWidth="1"/>
    <col min="7" max="7" width="11.375" style="190" bestFit="1" customWidth="1"/>
    <col min="8" max="8" width="17.375" style="190" bestFit="1" customWidth="1"/>
    <col min="9" max="9" width="8.375" style="50" bestFit="1" customWidth="1"/>
    <col min="10" max="10" width="14.75" style="190" bestFit="1" customWidth="1"/>
    <col min="11" max="11" width="12.25" style="190" bestFit="1" customWidth="1"/>
    <col min="12" max="12" width="9" style="10"/>
    <col min="13" max="13" width="13.25" style="50" customWidth="1"/>
    <col min="14" max="14" width="7.875" style="10" bestFit="1" customWidth="1"/>
    <col min="15" max="15" width="6.875" style="10" bestFit="1" customWidth="1"/>
    <col min="16" max="16" width="5.875" style="10" bestFit="1" customWidth="1"/>
    <col min="17" max="17" width="8" style="10" bestFit="1" customWidth="1"/>
    <col min="18" max="18" width="8.75" style="10" bestFit="1" customWidth="1"/>
    <col min="19" max="19" width="7.125" style="10" bestFit="1" customWidth="1"/>
    <col min="20" max="20" width="16.375" style="10" bestFit="1" customWidth="1"/>
    <col min="21" max="21" width="7.625" style="10" bestFit="1" customWidth="1"/>
    <col min="22" max="22" width="14.25" style="10" bestFit="1" customWidth="1"/>
    <col min="23" max="23" width="12" style="10" bestFit="1" customWidth="1"/>
    <col min="24" max="16384" width="9" style="10"/>
  </cols>
  <sheetData>
    <row r="1" spans="1:16" ht="15" thickBot="1">
      <c r="M1" s="200">
        <f>I203</f>
        <v>82750</v>
      </c>
      <c r="P1" s="179"/>
    </row>
    <row r="2" spans="1:16" ht="15.75" thickBot="1">
      <c r="A2" s="63" t="s">
        <v>29</v>
      </c>
      <c r="B2" s="222" t="s">
        <v>31</v>
      </c>
      <c r="C2" s="23" t="s">
        <v>37</v>
      </c>
      <c r="D2" s="23" t="s">
        <v>34</v>
      </c>
      <c r="E2" s="188" t="s">
        <v>30</v>
      </c>
      <c r="F2" s="188" t="s">
        <v>23</v>
      </c>
      <c r="G2" s="191" t="s">
        <v>38</v>
      </c>
      <c r="H2" s="191" t="s">
        <v>39</v>
      </c>
      <c r="I2" s="202" t="s">
        <v>21</v>
      </c>
      <c r="J2" s="191" t="s">
        <v>20</v>
      </c>
      <c r="K2" s="194" t="s">
        <v>22</v>
      </c>
      <c r="L2" s="185" t="s">
        <v>133</v>
      </c>
      <c r="M2" s="201" t="s">
        <v>165</v>
      </c>
      <c r="N2" s="10" t="s">
        <v>212</v>
      </c>
    </row>
    <row r="3" spans="1:16">
      <c r="A3" s="64">
        <v>202425001</v>
      </c>
      <c r="B3" s="198">
        <v>45407</v>
      </c>
      <c r="C3" s="50" t="s">
        <v>6</v>
      </c>
      <c r="D3" s="10" t="s">
        <v>114</v>
      </c>
      <c r="E3" s="187">
        <f>IF(ISBLANK(D3),"",VLOOKUP(D3,ADMISSION!B:N,9,0))</f>
        <v>12500</v>
      </c>
      <c r="F3" s="187">
        <f>IF(ISBLANK(D3),"",VLOOKUP(D3,ADMISSION!B:N,10,))</f>
        <v>1700</v>
      </c>
      <c r="G3" s="192">
        <f t="shared" ref="G3:G34" si="0">IF(ISBLANK(D3),"",E3-F3)</f>
        <v>10800</v>
      </c>
      <c r="H3" s="192">
        <f>IF(ISBLANK(D3),"",G3-SUMIF($D$1:D2,D3,$I$1:I2))</f>
        <v>10800</v>
      </c>
      <c r="I3" s="50">
        <v>1800</v>
      </c>
      <c r="J3" s="192">
        <f t="shared" ref="J3:J34" si="1">IF(ISBLANK(D3),"",G3-K3)</f>
        <v>9000</v>
      </c>
      <c r="K3" s="195">
        <f>IF(ISBLANK(D3),"",SUMIF($D$1:D3,D3,$I$1:I3))</f>
        <v>1800</v>
      </c>
      <c r="L3" s="10" t="s">
        <v>134</v>
      </c>
      <c r="M3" s="199">
        <f>I3</f>
        <v>1800</v>
      </c>
      <c r="N3" s="10" t="str">
        <f>IF(OR(ISBLANK(A3),ISBLANK(D3))," ",HYPERLINK("file:///C:/Users/ADMIN/Desktop/Fee Register 2024-'25/invoice pdf/"&amp;A3&amp;"-"&amp;D3&amp;".pdf","PDF"))</f>
        <v>PDF</v>
      </c>
    </row>
    <row r="4" spans="1:16">
      <c r="A4" s="64">
        <v>202425002</v>
      </c>
      <c r="B4" s="198">
        <v>45421</v>
      </c>
      <c r="C4" s="50" t="str">
        <f>IF(ISBLANK(D4),"",VLOOKUP(D4,ADMISSION!B:N,2,0))</f>
        <v>12th</v>
      </c>
      <c r="D4" s="10" t="s">
        <v>123</v>
      </c>
      <c r="E4" s="187">
        <f>IF(ISBLANK(D4),"",VLOOKUP(D4,ADMISSION!B:N,9,0))</f>
        <v>14500</v>
      </c>
      <c r="F4" s="187">
        <f>IF(ISBLANK(D4),"",VLOOKUP(D4,ADMISSION!B:N,10,))</f>
        <v>0</v>
      </c>
      <c r="G4" s="192">
        <f t="shared" si="0"/>
        <v>14500</v>
      </c>
      <c r="H4" s="192">
        <f>IF(ISBLANK(D4),"",G4-SUMIF($D$1:D3,D4,$I$1:I3))</f>
        <v>14500</v>
      </c>
      <c r="I4" s="50">
        <v>1000</v>
      </c>
      <c r="J4" s="192">
        <f t="shared" si="1"/>
        <v>13500</v>
      </c>
      <c r="K4" s="195">
        <f>IF(ISBLANK(D4),"",SUMIF($D$1:D4,D4,$I$1:I4))</f>
        <v>1000</v>
      </c>
      <c r="L4" s="10" t="s">
        <v>134</v>
      </c>
      <c r="M4" s="199">
        <f>IF(ISBLANK(I4)," ",M3+I4)</f>
        <v>2800</v>
      </c>
      <c r="N4" s="10" t="str">
        <f t="shared" ref="N4:N67" si="2">IF(OR(ISBLANK(A4),ISBLANK(D4))," ",HYPERLINK("file:///C:/Users/ADMIN/Desktop/Fee Register 2024-'25/invoice pdf/"&amp;A4&amp;"-"&amp;D4&amp;".pdf","PDF"))</f>
        <v>PDF</v>
      </c>
    </row>
    <row r="5" spans="1:16">
      <c r="A5" s="64">
        <v>202425003</v>
      </c>
      <c r="B5" s="198">
        <v>45427</v>
      </c>
      <c r="C5" s="50" t="s">
        <v>6</v>
      </c>
      <c r="D5" s="10" t="s">
        <v>125</v>
      </c>
      <c r="E5" s="187">
        <f>IF(ISBLANK(D5),"",VLOOKUP(D5,ADMISSION!B:N,9,0))</f>
        <v>12500</v>
      </c>
      <c r="F5" s="187">
        <f>IF(ISBLANK(D5),"",VLOOKUP(D5,ADMISSION!B:N,10,))</f>
        <v>0</v>
      </c>
      <c r="G5" s="192">
        <f t="shared" si="0"/>
        <v>12500</v>
      </c>
      <c r="H5" s="192">
        <f>IF(ISBLANK(D5),"",G5-SUMIF($D$1:D4,D5,$I$1:I4))</f>
        <v>12500</v>
      </c>
      <c r="I5" s="50">
        <v>3000</v>
      </c>
      <c r="J5" s="192">
        <f t="shared" si="1"/>
        <v>9500</v>
      </c>
      <c r="K5" s="195">
        <f>IF(ISBLANK(D5),"",SUMIF($D$1:D5,D5,$I$1:I5))</f>
        <v>3000</v>
      </c>
      <c r="L5" s="10" t="s">
        <v>134</v>
      </c>
      <c r="M5" s="199">
        <f t="shared" ref="M5:M68" si="3">IF(ISBLANK(I5)," ",M4+I5)</f>
        <v>5800</v>
      </c>
      <c r="N5" s="10" t="str">
        <f t="shared" si="2"/>
        <v>PDF</v>
      </c>
    </row>
    <row r="6" spans="1:16">
      <c r="A6" s="64">
        <v>202425004</v>
      </c>
      <c r="B6" s="198">
        <v>45439</v>
      </c>
      <c r="C6" s="50" t="s">
        <v>6</v>
      </c>
      <c r="D6" s="10" t="s">
        <v>121</v>
      </c>
      <c r="E6" s="187">
        <f>IF(ISBLANK(D6),"",VLOOKUP(D6,ADMISSION!B:N,9,0))</f>
        <v>12500</v>
      </c>
      <c r="F6" s="187">
        <f>IF(ISBLANK(D6),"",VLOOKUP(D6,ADMISSION!B:N,10,))</f>
        <v>2000</v>
      </c>
      <c r="G6" s="192">
        <f t="shared" si="0"/>
        <v>10500</v>
      </c>
      <c r="H6" s="192">
        <f>IF(ISBLANK(D6),"",G6-SUMIF($D$1:D5,D6,$I$1:I5))</f>
        <v>10500</v>
      </c>
      <c r="I6" s="50">
        <v>3000</v>
      </c>
      <c r="J6" s="192">
        <f t="shared" si="1"/>
        <v>7500</v>
      </c>
      <c r="K6" s="195">
        <f>IF(ISBLANK(D6),"",SUMIF($D$1:D6,D6,$I$1:I6))</f>
        <v>3000</v>
      </c>
      <c r="L6" s="10" t="s">
        <v>134</v>
      </c>
      <c r="M6" s="199">
        <f t="shared" si="3"/>
        <v>8800</v>
      </c>
      <c r="N6" s="10" t="str">
        <f t="shared" si="2"/>
        <v>PDF</v>
      </c>
    </row>
    <row r="7" spans="1:16">
      <c r="A7" s="64">
        <v>202425005</v>
      </c>
      <c r="B7" s="198">
        <v>45453</v>
      </c>
      <c r="C7" s="50" t="s">
        <v>6</v>
      </c>
      <c r="D7" s="154" t="s">
        <v>160</v>
      </c>
      <c r="E7" s="187">
        <f>IF(ISBLANK(D7),"",VLOOKUP(D7,ADMISSION!B:N,9,0))</f>
        <v>12500</v>
      </c>
      <c r="F7" s="187">
        <f>IF(ISBLANK(D7),"",VLOOKUP(D7,ADMISSION!B:N,10,))</f>
        <v>0</v>
      </c>
      <c r="G7" s="192">
        <f t="shared" si="0"/>
        <v>12500</v>
      </c>
      <c r="H7" s="192">
        <f>IF(ISBLANK(D7),"",G7-SUMIF($D$1:D6,D7,$I$1:I6))</f>
        <v>12500</v>
      </c>
      <c r="I7" s="50">
        <v>1000</v>
      </c>
      <c r="J7" s="192">
        <f t="shared" si="1"/>
        <v>11500</v>
      </c>
      <c r="K7" s="195">
        <f>IF(ISBLANK(D7),"",SUMIF($D$1:D7,D7,$I$1:I7))</f>
        <v>1000</v>
      </c>
      <c r="L7" s="10" t="s">
        <v>134</v>
      </c>
      <c r="M7" s="199">
        <f t="shared" si="3"/>
        <v>9800</v>
      </c>
      <c r="N7" s="10" t="str">
        <f t="shared" si="2"/>
        <v>PDF</v>
      </c>
    </row>
    <row r="8" spans="1:16">
      <c r="A8" s="64">
        <v>202425006</v>
      </c>
      <c r="B8" s="198">
        <v>45454</v>
      </c>
      <c r="C8" s="50" t="s">
        <v>11</v>
      </c>
      <c r="D8" s="154" t="s">
        <v>123</v>
      </c>
      <c r="E8" s="187">
        <f>IF(ISBLANK(D8),"",VLOOKUP(D8,ADMISSION!B:N,9,0))</f>
        <v>14500</v>
      </c>
      <c r="F8" s="187">
        <f>IF(ISBLANK(D8),"",VLOOKUP(D8,ADMISSION!B:N,10,))</f>
        <v>0</v>
      </c>
      <c r="G8" s="192">
        <f t="shared" si="0"/>
        <v>14500</v>
      </c>
      <c r="H8" s="192">
        <f>IF(ISBLANK(D8),"",G8-SUMIF($D$1:D7,D8,$I$1:I7))</f>
        <v>13500</v>
      </c>
      <c r="I8" s="50">
        <v>1000</v>
      </c>
      <c r="J8" s="192">
        <f t="shared" si="1"/>
        <v>12500</v>
      </c>
      <c r="K8" s="195">
        <f>IF(ISBLANK(D8),"",SUMIF($D$1:D8,D8,$I$1:I8))</f>
        <v>2000</v>
      </c>
      <c r="L8" s="10" t="s">
        <v>134</v>
      </c>
      <c r="M8" s="199">
        <f t="shared" si="3"/>
        <v>10800</v>
      </c>
      <c r="N8" s="10" t="str">
        <f t="shared" si="2"/>
        <v>PDF</v>
      </c>
    </row>
    <row r="9" spans="1:16">
      <c r="A9" s="64">
        <v>202425007</v>
      </c>
      <c r="B9" s="198">
        <v>45467</v>
      </c>
      <c r="C9" s="50" t="s">
        <v>4</v>
      </c>
      <c r="D9" s="10" t="s">
        <v>57</v>
      </c>
      <c r="E9" s="187">
        <f>IF(ISBLANK(D9),"",VLOOKUP(D9,ADMISSION!B:N,9,0))</f>
        <v>6000</v>
      </c>
      <c r="F9" s="187">
        <f>IF(ISBLANK(D9),"",VLOOKUP(D9,ADMISSION!B:N,10,))</f>
        <v>0</v>
      </c>
      <c r="G9" s="192">
        <f t="shared" si="0"/>
        <v>6000</v>
      </c>
      <c r="H9" s="192">
        <f>IF(ISBLANK(D9),"",G9-SUMIF($D$1:D8,D9,$I$1:I8))</f>
        <v>6000</v>
      </c>
      <c r="I9" s="50">
        <v>1500</v>
      </c>
      <c r="J9" s="192">
        <f t="shared" si="1"/>
        <v>4500</v>
      </c>
      <c r="K9" s="195">
        <f>IF(ISBLANK(D9),"",SUMIF($D$1:D9,D9,$I$1:I9))</f>
        <v>1500</v>
      </c>
      <c r="L9" s="10" t="s">
        <v>134</v>
      </c>
      <c r="M9" s="199">
        <f t="shared" si="3"/>
        <v>12300</v>
      </c>
      <c r="N9" s="10" t="str">
        <f t="shared" si="2"/>
        <v>PDF</v>
      </c>
    </row>
    <row r="10" spans="1:16">
      <c r="A10" s="64">
        <v>202425008</v>
      </c>
      <c r="B10" s="198">
        <v>45467</v>
      </c>
      <c r="C10" s="50" t="s">
        <v>2</v>
      </c>
      <c r="D10" s="10" t="s">
        <v>59</v>
      </c>
      <c r="E10" s="187">
        <f>IF(ISBLANK(D10),"",VLOOKUP(D10,ADMISSION!B:N,9,0))</f>
        <v>8000</v>
      </c>
      <c r="F10" s="187">
        <f>IF(ISBLANK(D10),"",VLOOKUP(D10,ADMISSION!B:N,10,))</f>
        <v>0</v>
      </c>
      <c r="G10" s="192">
        <f t="shared" si="0"/>
        <v>8000</v>
      </c>
      <c r="H10" s="192">
        <f>IF(ISBLANK(D10),"",G10-SUMIF($D$1:D9,D10,$I$1:I9))</f>
        <v>8000</v>
      </c>
      <c r="I10" s="50">
        <v>1500</v>
      </c>
      <c r="J10" s="192">
        <f t="shared" si="1"/>
        <v>6500</v>
      </c>
      <c r="K10" s="195">
        <f>IF(ISBLANK(D10),"",SUMIF($D$1:D10,D10,$I$1:I10))</f>
        <v>1500</v>
      </c>
      <c r="L10" s="10" t="s">
        <v>134</v>
      </c>
      <c r="M10" s="199">
        <f t="shared" si="3"/>
        <v>13800</v>
      </c>
      <c r="N10" s="10" t="str">
        <f t="shared" si="2"/>
        <v>PDF</v>
      </c>
    </row>
    <row r="11" spans="1:16">
      <c r="A11" s="64">
        <v>202425009</v>
      </c>
      <c r="B11" s="198">
        <v>45468</v>
      </c>
      <c r="C11" s="50" t="s">
        <v>7</v>
      </c>
      <c r="D11" s="10" t="s">
        <v>51</v>
      </c>
      <c r="E11" s="187">
        <f>IF(ISBLANK(D11),"",VLOOKUP(D11,ADMISSION!B:N,9,0))</f>
        <v>4500</v>
      </c>
      <c r="F11" s="187">
        <f>IF(ISBLANK(D11),"",VLOOKUP(D11,ADMISSION!B:N,10,))</f>
        <v>0</v>
      </c>
      <c r="G11" s="192">
        <f t="shared" si="0"/>
        <v>4500</v>
      </c>
      <c r="H11" s="192">
        <f>IF(ISBLANK(D11),"",G11-SUMIF($D$1:D10,D11,$I$1:I10))</f>
        <v>4500</v>
      </c>
      <c r="I11" s="50">
        <v>500</v>
      </c>
      <c r="J11" s="192">
        <f t="shared" si="1"/>
        <v>4000</v>
      </c>
      <c r="K11" s="195">
        <f>IF(ISBLANK(D11),"",SUMIF($D$1:D11,D11,$I$1:I11))</f>
        <v>500</v>
      </c>
      <c r="L11" s="10" t="s">
        <v>134</v>
      </c>
      <c r="M11" s="199">
        <f t="shared" si="3"/>
        <v>14300</v>
      </c>
      <c r="N11" s="10" t="str">
        <f t="shared" si="2"/>
        <v>PDF</v>
      </c>
    </row>
    <row r="12" spans="1:16">
      <c r="A12" s="64">
        <v>202425010</v>
      </c>
      <c r="B12" s="198">
        <v>45468</v>
      </c>
      <c r="C12" s="50" t="s">
        <v>8</v>
      </c>
      <c r="D12" s="10" t="s">
        <v>43</v>
      </c>
      <c r="E12" s="187">
        <f>IF(ISBLANK(D12),"",VLOOKUP(D12,ADMISSION!B:N,9,0))</f>
        <v>7000</v>
      </c>
      <c r="F12" s="187">
        <f>IF(ISBLANK(D12),"",VLOOKUP(D12,ADMISSION!B:N,10,))</f>
        <v>0</v>
      </c>
      <c r="G12" s="192">
        <f t="shared" si="0"/>
        <v>7000</v>
      </c>
      <c r="H12" s="192">
        <f>IF(ISBLANK(D12),"",G12-SUMIF($D$1:D11,D12,$I$1:I11))</f>
        <v>7000</v>
      </c>
      <c r="I12" s="50">
        <v>1500</v>
      </c>
      <c r="J12" s="192">
        <f t="shared" si="1"/>
        <v>5500</v>
      </c>
      <c r="K12" s="195">
        <f>IF(ISBLANK(D12),"",SUMIF($D$1:D12,D12,$I$1:I12))</f>
        <v>1500</v>
      </c>
      <c r="L12" s="10" t="s">
        <v>134</v>
      </c>
      <c r="M12" s="199">
        <f t="shared" si="3"/>
        <v>15800</v>
      </c>
      <c r="N12" s="10" t="str">
        <f t="shared" si="2"/>
        <v>PDF</v>
      </c>
    </row>
    <row r="13" spans="1:16">
      <c r="A13" s="64">
        <v>202425011</v>
      </c>
      <c r="B13" s="198">
        <v>45469</v>
      </c>
      <c r="C13" s="50" t="s">
        <v>8</v>
      </c>
      <c r="D13" s="10" t="s">
        <v>91</v>
      </c>
      <c r="E13" s="187">
        <f>IF(ISBLANK(D13),"",VLOOKUP(D13,ADMISSION!B:N,9,0))</f>
        <v>7000</v>
      </c>
      <c r="F13" s="187">
        <f>IF(ISBLANK(D13),"",VLOOKUP(D13,ADMISSION!B:N,10,))</f>
        <v>0</v>
      </c>
      <c r="G13" s="192">
        <f t="shared" si="0"/>
        <v>7000</v>
      </c>
      <c r="H13" s="192">
        <f>IF(ISBLANK(D13),"",G13-SUMIF($D$1:D12,D13,$I$1:I12))</f>
        <v>7000</v>
      </c>
      <c r="I13" s="50">
        <v>1500</v>
      </c>
      <c r="J13" s="192">
        <f t="shared" si="1"/>
        <v>5500</v>
      </c>
      <c r="K13" s="195">
        <f>IF(ISBLANK(D13),"",SUMIF($D$1:D13,D13,$I$1:I13))</f>
        <v>1500</v>
      </c>
      <c r="L13" s="10" t="s">
        <v>134</v>
      </c>
      <c r="M13" s="199">
        <f t="shared" si="3"/>
        <v>17300</v>
      </c>
      <c r="N13" s="10" t="str">
        <f t="shared" si="2"/>
        <v>PDF</v>
      </c>
    </row>
    <row r="14" spans="1:16">
      <c r="A14" s="64">
        <v>202425012</v>
      </c>
      <c r="B14" s="198">
        <v>45469</v>
      </c>
      <c r="C14" s="50" t="s">
        <v>7</v>
      </c>
      <c r="D14" s="10" t="s">
        <v>168</v>
      </c>
      <c r="E14" s="187">
        <f>IF(ISBLANK(D14),"",VLOOKUP(D14,ADMISSION!B:N,9,0))</f>
        <v>4500</v>
      </c>
      <c r="F14" s="187">
        <f>IF(ISBLANK(D14),"",VLOOKUP(D14,ADMISSION!B:N,10,))</f>
        <v>0</v>
      </c>
      <c r="G14" s="192">
        <f t="shared" si="0"/>
        <v>4500</v>
      </c>
      <c r="H14" s="192">
        <f>IF(ISBLANK(D14),"",G14-SUMIF($D$1:D13,D14,$I$1:I13))</f>
        <v>4500</v>
      </c>
      <c r="I14" s="50">
        <v>1000</v>
      </c>
      <c r="J14" s="192">
        <f t="shared" si="1"/>
        <v>3500</v>
      </c>
      <c r="K14" s="195">
        <f>IF(ISBLANK(D14),"",SUMIF($D$1:D14,D14,$I$1:I14))</f>
        <v>1000</v>
      </c>
      <c r="L14" s="10" t="s">
        <v>134</v>
      </c>
      <c r="M14" s="199">
        <f t="shared" si="3"/>
        <v>18300</v>
      </c>
      <c r="N14" s="10" t="str">
        <f t="shared" si="2"/>
        <v>PDF</v>
      </c>
    </row>
    <row r="15" spans="1:16">
      <c r="A15" s="64">
        <v>202425013</v>
      </c>
      <c r="B15" s="198">
        <v>45469</v>
      </c>
      <c r="C15" s="50" t="s">
        <v>6</v>
      </c>
      <c r="D15" s="10" t="s">
        <v>169</v>
      </c>
      <c r="E15" s="187">
        <f>IF(ISBLANK(D15),"",VLOOKUP(D15,ADMISSION!B:N,9,0))</f>
        <v>12500</v>
      </c>
      <c r="F15" s="187">
        <f>IF(ISBLANK(D15),"",VLOOKUP(D15,ADMISSION!B:N,10,))</f>
        <v>700</v>
      </c>
      <c r="G15" s="192">
        <f t="shared" si="0"/>
        <v>11800</v>
      </c>
      <c r="H15" s="192">
        <f>IF(ISBLANK(D15),"",G15-SUMIF($D$1:D14,D15,$I$1:I14))</f>
        <v>11800</v>
      </c>
      <c r="I15" s="50">
        <v>3000</v>
      </c>
      <c r="J15" s="192">
        <f t="shared" si="1"/>
        <v>8800</v>
      </c>
      <c r="K15" s="195">
        <f>IF(ISBLANK(D15),"",SUMIF($D$1:D15,D15,$I$1:I15))</f>
        <v>3000</v>
      </c>
      <c r="L15" s="10" t="s">
        <v>134</v>
      </c>
      <c r="M15" s="199">
        <f t="shared" si="3"/>
        <v>21300</v>
      </c>
      <c r="N15" s="10" t="str">
        <f t="shared" si="2"/>
        <v>PDF</v>
      </c>
    </row>
    <row r="16" spans="1:16">
      <c r="A16" s="64">
        <v>202425014</v>
      </c>
      <c r="B16" s="198">
        <v>45469</v>
      </c>
      <c r="C16" s="50" t="s">
        <v>5</v>
      </c>
      <c r="D16" s="10" t="s">
        <v>40</v>
      </c>
      <c r="E16" s="187">
        <f>IF(ISBLANK(D16),"",VLOOKUP(D16,ADMISSION!B:N,9,0))</f>
        <v>4000</v>
      </c>
      <c r="F16" s="187">
        <f>IF(ISBLANK(D16),"",VLOOKUP(D16,ADMISSION!B:N,10,))</f>
        <v>0</v>
      </c>
      <c r="G16" s="192">
        <f t="shared" si="0"/>
        <v>4000</v>
      </c>
      <c r="H16" s="192">
        <f>IF(ISBLANK(D16),"",G16-SUMIF($D$1:D15,D16,$I$1:I15))</f>
        <v>4000</v>
      </c>
      <c r="I16" s="50">
        <v>1000</v>
      </c>
      <c r="J16" s="192">
        <f t="shared" si="1"/>
        <v>3000</v>
      </c>
      <c r="K16" s="195">
        <f>IF(ISBLANK(D16),"",SUMIF($D$1:D16,D16,$I$1:I16))</f>
        <v>1000</v>
      </c>
      <c r="L16" s="10" t="s">
        <v>134</v>
      </c>
      <c r="M16" s="199">
        <f t="shared" si="3"/>
        <v>22300</v>
      </c>
      <c r="N16" s="10" t="str">
        <f t="shared" si="2"/>
        <v>PDF</v>
      </c>
      <c r="O16" s="179"/>
    </row>
    <row r="17" spans="1:14">
      <c r="A17" s="64">
        <v>202425015</v>
      </c>
      <c r="B17" s="198">
        <v>45470</v>
      </c>
      <c r="C17" s="50" t="s">
        <v>6</v>
      </c>
      <c r="D17" s="10" t="s">
        <v>74</v>
      </c>
      <c r="E17" s="187">
        <f>IF(ISBLANK(D17),"",VLOOKUP(D17,ADMISSION!B:N,9,0))</f>
        <v>12500</v>
      </c>
      <c r="F17" s="187">
        <f>IF(ISBLANK(D17),"",VLOOKUP(D17,ADMISSION!B:N,10,))</f>
        <v>700</v>
      </c>
      <c r="G17" s="192">
        <f t="shared" si="0"/>
        <v>11800</v>
      </c>
      <c r="H17" s="192">
        <f>IF(ISBLANK(D17),"",G17-SUMIF($D$1:D16,D17,$I$1:I16))</f>
        <v>11800</v>
      </c>
      <c r="I17" s="50">
        <v>3000</v>
      </c>
      <c r="J17" s="192">
        <f t="shared" si="1"/>
        <v>8800</v>
      </c>
      <c r="K17" s="195">
        <f>IF(ISBLANK(D17),"",SUMIF($D$1:D17,D17,$I$1:I17))</f>
        <v>3000</v>
      </c>
      <c r="L17" s="10" t="s">
        <v>134</v>
      </c>
      <c r="M17" s="199">
        <f t="shared" si="3"/>
        <v>25300</v>
      </c>
      <c r="N17" s="10" t="str">
        <f t="shared" si="2"/>
        <v>PDF</v>
      </c>
    </row>
    <row r="18" spans="1:14">
      <c r="A18" s="64">
        <v>202425016</v>
      </c>
      <c r="B18" s="198">
        <v>45470</v>
      </c>
      <c r="C18" s="50" t="s">
        <v>7</v>
      </c>
      <c r="D18" s="10" t="s">
        <v>45</v>
      </c>
      <c r="E18" s="187">
        <f>IF(ISBLANK(D18),"",VLOOKUP(D18,ADMISSION!B:N,9,0))</f>
        <v>4500</v>
      </c>
      <c r="F18" s="187">
        <f>IF(ISBLANK(D18),"",VLOOKUP(D18,ADMISSION!B:N,10,))</f>
        <v>0</v>
      </c>
      <c r="G18" s="192">
        <f t="shared" si="0"/>
        <v>4500</v>
      </c>
      <c r="H18" s="192">
        <f>IF(ISBLANK(D18),"",G18-SUMIF($D$1:D17,D18,$I$1:I17))</f>
        <v>4500</v>
      </c>
      <c r="I18" s="50">
        <v>1000</v>
      </c>
      <c r="J18" s="192">
        <f t="shared" si="1"/>
        <v>3500</v>
      </c>
      <c r="K18" s="195">
        <f>IF(ISBLANK(D18),"",SUMIF($D$1:D18,D18,$I$1:I18))</f>
        <v>1000</v>
      </c>
      <c r="L18" s="10" t="s">
        <v>134</v>
      </c>
      <c r="M18" s="199">
        <f t="shared" si="3"/>
        <v>26300</v>
      </c>
      <c r="N18" s="10" t="str">
        <f t="shared" si="2"/>
        <v>PDF</v>
      </c>
    </row>
    <row r="19" spans="1:14">
      <c r="A19" s="64">
        <v>202425017</v>
      </c>
      <c r="B19" s="198">
        <v>45470</v>
      </c>
      <c r="C19" s="50" t="s">
        <v>10</v>
      </c>
      <c r="D19" s="10" t="s">
        <v>164</v>
      </c>
      <c r="E19" s="187">
        <f>IF(ISBLANK(D19),"",VLOOKUP(D19,ADMISSION!B:N,9,0))</f>
        <v>13000</v>
      </c>
      <c r="F19" s="187">
        <f>IF(ISBLANK(D19),"",VLOOKUP(D19,ADMISSION!B:N,10,))</f>
        <v>0</v>
      </c>
      <c r="G19" s="192">
        <f t="shared" si="0"/>
        <v>13000</v>
      </c>
      <c r="H19" s="192">
        <f>IF(ISBLANK(D19),"",G19-SUMIF($D$1:D18,D19,$I$1:I18))</f>
        <v>13000</v>
      </c>
      <c r="I19" s="50">
        <v>1500</v>
      </c>
      <c r="J19" s="192">
        <f t="shared" si="1"/>
        <v>11500</v>
      </c>
      <c r="K19" s="195">
        <f>IF(ISBLANK(D19),"",SUMIF($D$1:D19,D19,$I$1:I19))</f>
        <v>1500</v>
      </c>
      <c r="L19" s="10" t="s">
        <v>134</v>
      </c>
      <c r="M19" s="199">
        <f t="shared" si="3"/>
        <v>27800</v>
      </c>
      <c r="N19" s="10" t="str">
        <f t="shared" si="2"/>
        <v>PDF</v>
      </c>
    </row>
    <row r="20" spans="1:14">
      <c r="A20" s="64">
        <v>202425018</v>
      </c>
      <c r="B20" s="198">
        <v>45471</v>
      </c>
      <c r="C20" s="50" t="s">
        <v>6</v>
      </c>
      <c r="D20" s="10" t="s">
        <v>170</v>
      </c>
      <c r="E20" s="187">
        <f>IF(ISBLANK(D20),"",VLOOKUP(D20,ADMISSION!B:N,9,0))</f>
        <v>12500</v>
      </c>
      <c r="F20" s="187">
        <f>IF(ISBLANK(D20),"",VLOOKUP(D20,ADMISSION!B:N,10,))</f>
        <v>700</v>
      </c>
      <c r="G20" s="192">
        <f t="shared" si="0"/>
        <v>11800</v>
      </c>
      <c r="H20" s="192">
        <f>IF(ISBLANK(D20),"",G20-SUMIF($D$1:D19,D20,$I$1:I19))</f>
        <v>11800</v>
      </c>
      <c r="I20" s="50">
        <v>3000</v>
      </c>
      <c r="J20" s="192">
        <f t="shared" si="1"/>
        <v>8800</v>
      </c>
      <c r="K20" s="195">
        <f>IF(ISBLANK(D20),"",SUMIF($D$1:D20,D20,$I$1:I20))</f>
        <v>3000</v>
      </c>
      <c r="L20" s="10" t="s">
        <v>134</v>
      </c>
      <c r="M20" s="199">
        <f t="shared" si="3"/>
        <v>30800</v>
      </c>
      <c r="N20" s="10" t="str">
        <f t="shared" si="2"/>
        <v>PDF</v>
      </c>
    </row>
    <row r="21" spans="1:14">
      <c r="A21" s="64">
        <v>202425019</v>
      </c>
      <c r="B21" s="198">
        <v>45471</v>
      </c>
      <c r="C21" s="50" t="s">
        <v>2</v>
      </c>
      <c r="D21" s="10" t="s">
        <v>173</v>
      </c>
      <c r="E21" s="187">
        <f>IF(ISBLANK(D21),"",VLOOKUP(D21,ADMISSION!B:N,9,0))</f>
        <v>8000</v>
      </c>
      <c r="F21" s="187">
        <f>IF(ISBLANK(D21),"",VLOOKUP(D21,ADMISSION!B:N,10,))</f>
        <v>500</v>
      </c>
      <c r="G21" s="192">
        <f t="shared" si="0"/>
        <v>7500</v>
      </c>
      <c r="H21" s="192">
        <f>IF(ISBLANK(D21),"",G21-SUMIF($D$1:D20,D21,$I$1:I20))</f>
        <v>7500</v>
      </c>
      <c r="I21" s="50">
        <v>2000</v>
      </c>
      <c r="J21" s="192">
        <f t="shared" si="1"/>
        <v>5500</v>
      </c>
      <c r="K21" s="195">
        <f>IF(ISBLANK(D21),"",SUMIF($D$1:D21,D21,$I$1:I21))</f>
        <v>2000</v>
      </c>
      <c r="L21" s="10" t="s">
        <v>134</v>
      </c>
      <c r="M21" s="199">
        <f t="shared" si="3"/>
        <v>32800</v>
      </c>
      <c r="N21" s="10" t="str">
        <f t="shared" si="2"/>
        <v>PDF</v>
      </c>
    </row>
    <row r="22" spans="1:14">
      <c r="A22" s="64">
        <v>202425020</v>
      </c>
      <c r="B22" s="198">
        <v>45473</v>
      </c>
      <c r="C22" s="50" t="s">
        <v>0</v>
      </c>
      <c r="D22" s="10" t="s">
        <v>177</v>
      </c>
      <c r="E22" s="187">
        <f>IF(ISBLANK(D22),"",VLOOKUP(D22,ADMISSION!B:N,9,0))</f>
        <v>3000</v>
      </c>
      <c r="F22" s="187">
        <f>IF(ISBLANK(D22),"",VLOOKUP(D22,ADMISSION!B:N,10,))</f>
        <v>200</v>
      </c>
      <c r="G22" s="192">
        <f t="shared" si="0"/>
        <v>2800</v>
      </c>
      <c r="H22" s="192">
        <f>IF(ISBLANK(D22),"",G22-SUMIF($D$1:D21,D22,$I$1:I21))</f>
        <v>2800</v>
      </c>
      <c r="I22" s="50">
        <v>500</v>
      </c>
      <c r="J22" s="192">
        <f t="shared" si="1"/>
        <v>2300</v>
      </c>
      <c r="K22" s="195">
        <f>IF(ISBLANK(D22),"",SUMIF($D$1:D22,D22,$I$1:I22))</f>
        <v>500</v>
      </c>
      <c r="L22" s="10" t="s">
        <v>134</v>
      </c>
      <c r="M22" s="199">
        <f t="shared" si="3"/>
        <v>33300</v>
      </c>
      <c r="N22" s="10" t="str">
        <f t="shared" si="2"/>
        <v>PDF</v>
      </c>
    </row>
    <row r="23" spans="1:14">
      <c r="A23" s="64">
        <v>202425021</v>
      </c>
      <c r="B23" s="198">
        <v>45473</v>
      </c>
      <c r="C23" s="50" t="s">
        <v>5</v>
      </c>
      <c r="D23" s="10" t="s">
        <v>176</v>
      </c>
      <c r="E23" s="187">
        <f>IF(ISBLANK(D23),"",VLOOKUP(D23,ADMISSION!B:N,9,0))</f>
        <v>4000</v>
      </c>
      <c r="F23" s="187">
        <f>IF(ISBLANK(D23),"",VLOOKUP(D23,ADMISSION!B:N,10,))</f>
        <v>300</v>
      </c>
      <c r="G23" s="192">
        <f t="shared" si="0"/>
        <v>3700</v>
      </c>
      <c r="H23" s="192">
        <f>IF(ISBLANK(D23),"",G23-SUMIF($D$1:D22,D23,$I$1:I22))</f>
        <v>3700</v>
      </c>
      <c r="I23" s="50">
        <v>500</v>
      </c>
      <c r="J23" s="192">
        <f t="shared" si="1"/>
        <v>3200</v>
      </c>
      <c r="K23" s="195">
        <f>IF(ISBLANK(D23),"",SUMIF($D$1:D23,D23,$I$1:I23))</f>
        <v>500</v>
      </c>
      <c r="L23" s="10" t="s">
        <v>134</v>
      </c>
      <c r="M23" s="199">
        <f t="shared" si="3"/>
        <v>33800</v>
      </c>
      <c r="N23" s="10" t="str">
        <f t="shared" si="2"/>
        <v>PDF</v>
      </c>
    </row>
    <row r="24" spans="1:14">
      <c r="A24" s="64">
        <v>202425022</v>
      </c>
      <c r="B24" s="198">
        <v>45476</v>
      </c>
      <c r="C24" s="50" t="s">
        <v>6</v>
      </c>
      <c r="D24" s="10" t="s">
        <v>114</v>
      </c>
      <c r="E24" s="187">
        <f>IF(ISBLANK(D24),"",VLOOKUP(D24,ADMISSION!B:N,9,0))</f>
        <v>12500</v>
      </c>
      <c r="F24" s="187">
        <f>IF(ISBLANK(D24),"",VLOOKUP(D24,ADMISSION!B:N,10,))</f>
        <v>1700</v>
      </c>
      <c r="G24" s="192">
        <f t="shared" si="0"/>
        <v>10800</v>
      </c>
      <c r="H24" s="192">
        <f>IF(ISBLANK(D24),"",G24-SUMIF($D$1:D23,D24,$I$1:I23))</f>
        <v>9000</v>
      </c>
      <c r="I24" s="50">
        <v>2000</v>
      </c>
      <c r="J24" s="192">
        <f t="shared" si="1"/>
        <v>7000</v>
      </c>
      <c r="K24" s="195">
        <f>IF(ISBLANK(D24),"",SUMIF($D$1:D24,D24,$I$1:I24))</f>
        <v>3800</v>
      </c>
      <c r="L24" s="10" t="s">
        <v>134</v>
      </c>
      <c r="M24" s="199">
        <f t="shared" si="3"/>
        <v>35800</v>
      </c>
      <c r="N24" s="10" t="str">
        <f t="shared" si="2"/>
        <v>PDF</v>
      </c>
    </row>
    <row r="25" spans="1:14">
      <c r="A25" s="64">
        <v>202425023</v>
      </c>
      <c r="B25" s="198">
        <v>45476</v>
      </c>
      <c r="C25" s="50" t="s">
        <v>6</v>
      </c>
      <c r="D25" s="10" t="s">
        <v>106</v>
      </c>
      <c r="E25" s="187">
        <f>IF(ISBLANK(D25),"",VLOOKUP(D25,ADMISSION!B:N,9,0))</f>
        <v>12500</v>
      </c>
      <c r="F25" s="187">
        <f>IF(ISBLANK(D25),"",VLOOKUP(D25,ADMISSION!B:N,10,))</f>
        <v>0</v>
      </c>
      <c r="G25" s="192">
        <f t="shared" si="0"/>
        <v>12500</v>
      </c>
      <c r="H25" s="192">
        <f>IF(ISBLANK(D25),"",G25-SUMIF($D$1:D24,D25,$I$1:I24))</f>
        <v>12500</v>
      </c>
      <c r="I25" s="50">
        <v>1000</v>
      </c>
      <c r="J25" s="192">
        <f t="shared" si="1"/>
        <v>11500</v>
      </c>
      <c r="K25" s="195">
        <f>IF(ISBLANK(D25),"",SUMIF($D$1:D25,D25,$I$1:I25))</f>
        <v>1000</v>
      </c>
      <c r="L25" s="10" t="s">
        <v>134</v>
      </c>
      <c r="M25" s="199">
        <f t="shared" si="3"/>
        <v>36800</v>
      </c>
      <c r="N25" s="10" t="str">
        <f t="shared" si="2"/>
        <v>PDF</v>
      </c>
    </row>
    <row r="26" spans="1:14">
      <c r="A26" s="64">
        <v>202425024</v>
      </c>
      <c r="B26" s="198">
        <v>45476</v>
      </c>
      <c r="C26" s="50" t="s">
        <v>3</v>
      </c>
      <c r="D26" s="10" t="s">
        <v>85</v>
      </c>
      <c r="E26" s="187">
        <f>IF(ISBLANK(D26),"",VLOOKUP(D26,ADMISSION!B:N,9,0))</f>
        <v>5000</v>
      </c>
      <c r="F26" s="187">
        <f>IF(ISBLANK(D26),"",VLOOKUP(D26,ADMISSION!B:N,10,))</f>
        <v>300</v>
      </c>
      <c r="G26" s="192">
        <f t="shared" si="0"/>
        <v>4700</v>
      </c>
      <c r="H26" s="192">
        <f>IF(ISBLANK(D26),"",G26-SUMIF($D$1:D25,D26,$I$1:I25))</f>
        <v>4700</v>
      </c>
      <c r="I26" s="50">
        <v>700</v>
      </c>
      <c r="J26" s="192">
        <f t="shared" si="1"/>
        <v>4000</v>
      </c>
      <c r="K26" s="195">
        <f>IF(ISBLANK(D26),"",SUMIF($D$1:D26,D26,$I$1:I26))</f>
        <v>700</v>
      </c>
      <c r="L26" s="10" t="s">
        <v>134</v>
      </c>
      <c r="M26" s="199">
        <f t="shared" si="3"/>
        <v>37500</v>
      </c>
      <c r="N26" s="10" t="str">
        <f t="shared" si="2"/>
        <v>PDF</v>
      </c>
    </row>
    <row r="27" spans="1:14">
      <c r="A27" s="64">
        <v>202425025</v>
      </c>
      <c r="B27" s="198">
        <v>45479</v>
      </c>
      <c r="C27" s="50" t="s">
        <v>6</v>
      </c>
      <c r="D27" s="10" t="s">
        <v>178</v>
      </c>
      <c r="E27" s="187">
        <f>IF(ISBLANK(D27),"",VLOOKUP(D27,ADMISSION!B:N,9,0))</f>
        <v>12500</v>
      </c>
      <c r="F27" s="187">
        <f>IF(ISBLANK(D27),"",VLOOKUP(D27,ADMISSION!B:N,10,))</f>
        <v>700</v>
      </c>
      <c r="G27" s="192">
        <f t="shared" si="0"/>
        <v>11800</v>
      </c>
      <c r="H27" s="192">
        <f>IF(ISBLANK(D27),"",G27-SUMIF($D$1:D26,D27,$I$1:I26))</f>
        <v>11800</v>
      </c>
      <c r="I27" s="50">
        <v>3000</v>
      </c>
      <c r="J27" s="192">
        <f t="shared" si="1"/>
        <v>8800</v>
      </c>
      <c r="K27" s="195">
        <f>IF(ISBLANK(D27),"",SUMIF($D$1:D27,D27,$I$1:I27))</f>
        <v>3000</v>
      </c>
      <c r="L27" s="10" t="s">
        <v>134</v>
      </c>
      <c r="M27" s="199">
        <f t="shared" si="3"/>
        <v>40500</v>
      </c>
      <c r="N27" s="10" t="str">
        <f t="shared" si="2"/>
        <v>PDF</v>
      </c>
    </row>
    <row r="28" spans="1:14">
      <c r="A28" s="64">
        <v>202425026</v>
      </c>
      <c r="B28" s="198">
        <v>45480</v>
      </c>
      <c r="C28" s="50" t="s">
        <v>6</v>
      </c>
      <c r="D28" s="10" t="s">
        <v>55</v>
      </c>
      <c r="E28" s="187">
        <f>IF(ISBLANK(D28),"",VLOOKUP(D28,ADMISSION!B:N,9,0))</f>
        <v>12500</v>
      </c>
      <c r="F28" s="187">
        <f>IF(ISBLANK(D28),"",VLOOKUP(D28,ADMISSION!B:N,10,))</f>
        <v>0</v>
      </c>
      <c r="G28" s="192">
        <f t="shared" si="0"/>
        <v>12500</v>
      </c>
      <c r="H28" s="192">
        <f>IF(ISBLANK(D28),"",G28-SUMIF($D$1:D27,D28,$I$1:I27))</f>
        <v>12500</v>
      </c>
      <c r="I28" s="50">
        <v>3000</v>
      </c>
      <c r="J28" s="192">
        <f t="shared" si="1"/>
        <v>9500</v>
      </c>
      <c r="K28" s="195">
        <f>IF(ISBLANK(D28),"",SUMIF($D$1:D28,D28,$I$1:I28))</f>
        <v>3000</v>
      </c>
      <c r="L28" s="10" t="s">
        <v>134</v>
      </c>
      <c r="M28" s="199">
        <f t="shared" si="3"/>
        <v>43500</v>
      </c>
      <c r="N28" s="10" t="str">
        <f t="shared" si="2"/>
        <v>PDF</v>
      </c>
    </row>
    <row r="29" spans="1:14">
      <c r="A29" s="64">
        <v>202425027</v>
      </c>
      <c r="B29" s="198">
        <v>45481</v>
      </c>
      <c r="C29" s="50" t="s">
        <v>4</v>
      </c>
      <c r="D29" s="10" t="s">
        <v>89</v>
      </c>
      <c r="E29" s="187">
        <f>IF(ISBLANK(D29),"",VLOOKUP(D29,ADMISSION!B:N,9,0))</f>
        <v>6000</v>
      </c>
      <c r="F29" s="187">
        <f>IF(ISBLANK(D29),"",VLOOKUP(D29,ADMISSION!B:N,10,))</f>
        <v>0</v>
      </c>
      <c r="G29" s="192">
        <f t="shared" si="0"/>
        <v>6000</v>
      </c>
      <c r="H29" s="192">
        <f>IF(ISBLANK(D29),"",G29-SUMIF($D$1:D28,D29,$I$1:I28))</f>
        <v>6000</v>
      </c>
      <c r="I29" s="50">
        <v>1000</v>
      </c>
      <c r="J29" s="192">
        <f t="shared" si="1"/>
        <v>5000</v>
      </c>
      <c r="K29" s="195">
        <f>IF(ISBLANK(D29),"",SUMIF($D$1:D29,D29,$I$1:I29))</f>
        <v>1000</v>
      </c>
      <c r="L29" s="10" t="s">
        <v>134</v>
      </c>
      <c r="M29" s="199">
        <f t="shared" si="3"/>
        <v>44500</v>
      </c>
      <c r="N29" s="10" t="str">
        <f t="shared" si="2"/>
        <v>PDF</v>
      </c>
    </row>
    <row r="30" spans="1:14">
      <c r="A30" s="64">
        <v>202425028</v>
      </c>
      <c r="B30" s="198">
        <v>45481</v>
      </c>
      <c r="C30" s="50" t="s">
        <v>9</v>
      </c>
      <c r="D30" s="10" t="s">
        <v>99</v>
      </c>
      <c r="E30" s="187">
        <f>IF(ISBLANK(D30),"",VLOOKUP(D30,ADMISSION!B:N,9,0))</f>
        <v>9500</v>
      </c>
      <c r="F30" s="187">
        <f>IF(ISBLANK(D30),"",VLOOKUP(D30,ADMISSION!B:N,10,))</f>
        <v>500</v>
      </c>
      <c r="G30" s="192">
        <f t="shared" si="0"/>
        <v>9000</v>
      </c>
      <c r="H30" s="192">
        <f>IF(ISBLANK(D30),"",G30-SUMIF($D$1:D29,D30,$I$1:I29))</f>
        <v>9000</v>
      </c>
      <c r="I30" s="50">
        <v>2000</v>
      </c>
      <c r="J30" s="192">
        <f t="shared" si="1"/>
        <v>7000</v>
      </c>
      <c r="K30" s="195">
        <f>IF(ISBLANK(D30),"",SUMIF($D$1:D30,D30,$I$1:I30))</f>
        <v>2000</v>
      </c>
      <c r="L30" s="10" t="s">
        <v>134</v>
      </c>
      <c r="M30" s="199">
        <f t="shared" si="3"/>
        <v>46500</v>
      </c>
      <c r="N30" s="10" t="str">
        <f t="shared" si="2"/>
        <v>PDF</v>
      </c>
    </row>
    <row r="31" spans="1:14">
      <c r="A31" s="64">
        <v>202425029</v>
      </c>
      <c r="B31" s="198">
        <v>45481</v>
      </c>
      <c r="C31" s="50" t="s">
        <v>2</v>
      </c>
      <c r="D31" s="10" t="s">
        <v>97</v>
      </c>
      <c r="E31" s="187">
        <f>IF(ISBLANK(D31),"",VLOOKUP(D31,ADMISSION!B:N,9,0))</f>
        <v>8000</v>
      </c>
      <c r="F31" s="187">
        <f>IF(ISBLANK(D31),"",VLOOKUP(D31,ADMISSION!B:N,10,))</f>
        <v>500</v>
      </c>
      <c r="G31" s="192">
        <f t="shared" si="0"/>
        <v>7500</v>
      </c>
      <c r="H31" s="192">
        <f>IF(ISBLANK(D31),"",G31-SUMIF($D$1:D30,D31,$I$1:I30))</f>
        <v>7500</v>
      </c>
      <c r="I31" s="50">
        <v>2000</v>
      </c>
      <c r="J31" s="192">
        <f t="shared" si="1"/>
        <v>5500</v>
      </c>
      <c r="K31" s="195">
        <f>IF(ISBLANK(D31),"",SUMIF($D$1:D31,D31,$I$1:I31))</f>
        <v>2000</v>
      </c>
      <c r="L31" s="10" t="s">
        <v>134</v>
      </c>
      <c r="M31" s="199">
        <f t="shared" si="3"/>
        <v>48500</v>
      </c>
      <c r="N31" s="10" t="str">
        <f t="shared" si="2"/>
        <v>PDF</v>
      </c>
    </row>
    <row r="32" spans="1:14">
      <c r="A32" s="64">
        <v>202425030</v>
      </c>
      <c r="B32" s="198">
        <v>45481</v>
      </c>
      <c r="C32" s="50" t="s">
        <v>11</v>
      </c>
      <c r="D32" s="10" t="s">
        <v>108</v>
      </c>
      <c r="E32" s="187">
        <f>IF(ISBLANK(D32),"",VLOOKUP(D32,ADMISSION!B:N,9,0))</f>
        <v>14500</v>
      </c>
      <c r="F32" s="187">
        <f>IF(ISBLANK(D32),"",VLOOKUP(D32,ADMISSION!B:N,10,))</f>
        <v>1500</v>
      </c>
      <c r="G32" s="192">
        <f t="shared" si="0"/>
        <v>13000</v>
      </c>
      <c r="H32" s="192">
        <f>IF(ISBLANK(D32),"",G32-SUMIF($D$1:D31,D32,$I$1:I31))</f>
        <v>13000</v>
      </c>
      <c r="I32" s="50">
        <v>3000</v>
      </c>
      <c r="J32" s="192">
        <f t="shared" si="1"/>
        <v>10000</v>
      </c>
      <c r="K32" s="195">
        <f>IF(ISBLANK(D32),"",SUMIF($D$1:D32,D32,$I$1:I32))</f>
        <v>3000</v>
      </c>
      <c r="L32" s="10" t="s">
        <v>134</v>
      </c>
      <c r="M32" s="199">
        <f t="shared" si="3"/>
        <v>51500</v>
      </c>
      <c r="N32" s="10" t="str">
        <f t="shared" si="2"/>
        <v>PDF</v>
      </c>
    </row>
    <row r="33" spans="1:18">
      <c r="A33" s="64">
        <v>202425031</v>
      </c>
      <c r="B33" s="198">
        <v>45481</v>
      </c>
      <c r="C33" s="50" t="s">
        <v>2</v>
      </c>
      <c r="D33" s="10" t="s">
        <v>63</v>
      </c>
      <c r="E33" s="187">
        <f>IF(ISBLANK(D33),"",VLOOKUP(D33,ADMISSION!B:N,9,0))</f>
        <v>8000</v>
      </c>
      <c r="F33" s="187">
        <f>IF(ISBLANK(D33),"",VLOOKUP(D33,ADMISSION!B:N,10,))</f>
        <v>500</v>
      </c>
      <c r="G33" s="192">
        <f t="shared" si="0"/>
        <v>7500</v>
      </c>
      <c r="H33" s="192">
        <f>IF(ISBLANK(D33),"",G33-SUMIF($D$1:D32,D33,$I$1:I32))</f>
        <v>7500</v>
      </c>
      <c r="I33" s="50">
        <v>1000</v>
      </c>
      <c r="J33" s="192">
        <f t="shared" si="1"/>
        <v>6500</v>
      </c>
      <c r="K33" s="195">
        <f>IF(ISBLANK(D33),"",SUMIF($D$1:D33,D33,$I$1:I33))</f>
        <v>1000</v>
      </c>
      <c r="L33" s="10" t="s">
        <v>134</v>
      </c>
      <c r="M33" s="199">
        <f t="shared" si="3"/>
        <v>52500</v>
      </c>
      <c r="N33" s="10" t="str">
        <f t="shared" si="2"/>
        <v>PDF</v>
      </c>
    </row>
    <row r="34" spans="1:18">
      <c r="A34" s="64">
        <v>202425032</v>
      </c>
      <c r="B34" s="198">
        <v>45481</v>
      </c>
      <c r="C34" s="50" t="s">
        <v>10</v>
      </c>
      <c r="D34" s="10" t="s">
        <v>162</v>
      </c>
      <c r="E34" s="187">
        <f>IF(ISBLANK(D34),"",VLOOKUP(D34,ADMISSION!B:N,9,0))</f>
        <v>13000</v>
      </c>
      <c r="F34" s="187">
        <f>IF(ISBLANK(D34),"",VLOOKUP(D34,ADMISSION!B:N,10,))</f>
        <v>0</v>
      </c>
      <c r="G34" s="192">
        <f t="shared" si="0"/>
        <v>13000</v>
      </c>
      <c r="H34" s="192">
        <f>IF(ISBLANK(D34),"",G34-SUMIF($D$1:D33,D34,$I$1:I33))</f>
        <v>13000</v>
      </c>
      <c r="I34" s="50">
        <v>1500</v>
      </c>
      <c r="J34" s="192">
        <f t="shared" si="1"/>
        <v>11500</v>
      </c>
      <c r="K34" s="195">
        <f>IF(ISBLANK(D34),"",SUMIF($D$1:D34,D34,$I$1:I34))</f>
        <v>1500</v>
      </c>
      <c r="L34" s="10" t="s">
        <v>134</v>
      </c>
      <c r="M34" s="199">
        <f t="shared" si="3"/>
        <v>54000</v>
      </c>
      <c r="N34" s="10" t="str">
        <f t="shared" si="2"/>
        <v>PDF</v>
      </c>
    </row>
    <row r="35" spans="1:18">
      <c r="A35" s="64">
        <v>202425033</v>
      </c>
      <c r="B35" s="198">
        <v>45482</v>
      </c>
      <c r="C35" s="50" t="s">
        <v>2</v>
      </c>
      <c r="D35" s="10" t="s">
        <v>161</v>
      </c>
      <c r="E35" s="187">
        <f>IF(ISBLANK(D35),"",VLOOKUP(D35,ADMISSION!B:N,9,0))</f>
        <v>8000</v>
      </c>
      <c r="F35" s="187">
        <f>IF(ISBLANK(D35),"",VLOOKUP(D35,ADMISSION!B:N,10,))</f>
        <v>0</v>
      </c>
      <c r="G35" s="192">
        <f t="shared" ref="G35:G66" si="4">IF(ISBLANK(D35),"",E35-F35)</f>
        <v>8000</v>
      </c>
      <c r="H35" s="192">
        <f>IF(ISBLANK(D35),"",G35-SUMIF($D$1:D34,D35,$I$1:I34))</f>
        <v>8000</v>
      </c>
      <c r="I35" s="50">
        <v>2000</v>
      </c>
      <c r="J35" s="192">
        <f t="shared" ref="J35:J66" si="5">IF(ISBLANK(D35),"",G35-K35)</f>
        <v>6000</v>
      </c>
      <c r="K35" s="195">
        <f>IF(ISBLANK(D35),"",SUMIF($D$1:D35,D35,$I$1:I35))</f>
        <v>2000</v>
      </c>
      <c r="L35" s="10" t="s">
        <v>134</v>
      </c>
      <c r="M35" s="199">
        <f t="shared" si="3"/>
        <v>56000</v>
      </c>
      <c r="N35" s="10" t="str">
        <f t="shared" si="2"/>
        <v>PDF</v>
      </c>
    </row>
    <row r="36" spans="1:18">
      <c r="A36" s="64">
        <v>202425034</v>
      </c>
      <c r="B36" s="198">
        <v>45482</v>
      </c>
      <c r="C36" s="50" t="s">
        <v>2</v>
      </c>
      <c r="D36" s="10" t="s">
        <v>181</v>
      </c>
      <c r="E36" s="187">
        <f>IF(ISBLANK(D36),"",VLOOKUP(D36,ADMISSION!B:N,9,0))</f>
        <v>8000</v>
      </c>
      <c r="F36" s="187">
        <f>IF(ISBLANK(D36),"",VLOOKUP(D36,ADMISSION!B:N,10,))</f>
        <v>0</v>
      </c>
      <c r="G36" s="192">
        <f t="shared" si="4"/>
        <v>8000</v>
      </c>
      <c r="H36" s="192">
        <f>IF(ISBLANK(D36),"",G36-SUMIF($D$1:D35,D36,$I$1:I35))</f>
        <v>8000</v>
      </c>
      <c r="I36" s="50">
        <v>1000</v>
      </c>
      <c r="J36" s="192">
        <f t="shared" si="5"/>
        <v>7000</v>
      </c>
      <c r="K36" s="195">
        <f>IF(ISBLANK(D36),"",SUMIF($D$1:D36,D36,$I$1:I36))</f>
        <v>1000</v>
      </c>
      <c r="L36" s="10" t="s">
        <v>134</v>
      </c>
      <c r="M36" s="199">
        <f t="shared" si="3"/>
        <v>57000</v>
      </c>
      <c r="N36" s="10" t="str">
        <f t="shared" si="2"/>
        <v>PDF</v>
      </c>
    </row>
    <row r="37" spans="1:18">
      <c r="A37" s="64">
        <v>202425035</v>
      </c>
      <c r="B37" s="198">
        <v>45482</v>
      </c>
      <c r="C37" s="50" t="s">
        <v>8</v>
      </c>
      <c r="D37" s="10" t="s">
        <v>186</v>
      </c>
      <c r="E37" s="187">
        <f>IF(ISBLANK(D37),"",VLOOKUP(D37,ADMISSION!B:N,9,0))</f>
        <v>7000</v>
      </c>
      <c r="F37" s="187">
        <f>IF(ISBLANK(D37),"",VLOOKUP(D37,ADMISSION!B:N,10,))</f>
        <v>0</v>
      </c>
      <c r="G37" s="192">
        <f t="shared" si="4"/>
        <v>7000</v>
      </c>
      <c r="H37" s="192">
        <f>IF(ISBLANK(D37),"",G37-SUMIF($D$1:D36,D37,$I$1:I36))</f>
        <v>7000</v>
      </c>
      <c r="I37" s="50">
        <v>1000</v>
      </c>
      <c r="J37" s="192">
        <f t="shared" si="5"/>
        <v>6000</v>
      </c>
      <c r="K37" s="195">
        <f>IF(ISBLANK(D37),"",SUMIF($D$1:D37,D37,$I$1:I37))</f>
        <v>1000</v>
      </c>
      <c r="L37" s="10" t="s">
        <v>134</v>
      </c>
      <c r="M37" s="199">
        <f t="shared" si="3"/>
        <v>58000</v>
      </c>
      <c r="N37" s="10" t="str">
        <f t="shared" si="2"/>
        <v>PDF</v>
      </c>
      <c r="P37" s="186"/>
      <c r="R37" s="179"/>
    </row>
    <row r="38" spans="1:18">
      <c r="A38" s="64">
        <v>202425036</v>
      </c>
      <c r="B38" s="198">
        <v>45482</v>
      </c>
      <c r="C38" s="50" t="s">
        <v>8</v>
      </c>
      <c r="D38" s="10" t="s">
        <v>184</v>
      </c>
      <c r="E38" s="187">
        <f>IF(ISBLANK(D38),"",VLOOKUP(D38,ADMISSION!B:N,9,0))</f>
        <v>7000</v>
      </c>
      <c r="F38" s="187">
        <f>IF(ISBLANK(D38),"",VLOOKUP(D38,ADMISSION!B:N,10,))</f>
        <v>0</v>
      </c>
      <c r="G38" s="192">
        <f t="shared" si="4"/>
        <v>7000</v>
      </c>
      <c r="H38" s="192">
        <f>IF(ISBLANK(D38),"",G38-SUMIF($D$1:D37,D38,$I$1:I37))</f>
        <v>7000</v>
      </c>
      <c r="I38" s="50">
        <v>2000</v>
      </c>
      <c r="J38" s="192">
        <f t="shared" si="5"/>
        <v>5000</v>
      </c>
      <c r="K38" s="195">
        <f>IF(ISBLANK(D38),"",SUMIF($D$1:D38,D38,$I$1:I38))</f>
        <v>2000</v>
      </c>
      <c r="L38" s="10" t="s">
        <v>134</v>
      </c>
      <c r="M38" s="199">
        <f t="shared" si="3"/>
        <v>60000</v>
      </c>
      <c r="N38" s="10" t="str">
        <f t="shared" si="2"/>
        <v>PDF</v>
      </c>
    </row>
    <row r="39" spans="1:18">
      <c r="A39" s="64">
        <v>202425037</v>
      </c>
      <c r="B39" s="198">
        <v>45482</v>
      </c>
      <c r="C39" s="50" t="s">
        <v>11</v>
      </c>
      <c r="D39" s="10" t="s">
        <v>128</v>
      </c>
      <c r="E39" s="187">
        <f>IF(ISBLANK(D39),"",VLOOKUP(D39,ADMISSION!B:N,9,0))</f>
        <v>14500</v>
      </c>
      <c r="F39" s="187">
        <f>IF(ISBLANK(D39),"",VLOOKUP(D39,ADMISSION!B:N,10,))</f>
        <v>700</v>
      </c>
      <c r="G39" s="192">
        <f t="shared" si="4"/>
        <v>13800</v>
      </c>
      <c r="H39" s="192">
        <f>IF(ISBLANK(D39),"",G39-SUMIF($D$1:D38,D39,$I$1:I38))</f>
        <v>13800</v>
      </c>
      <c r="I39" s="50">
        <v>5000</v>
      </c>
      <c r="J39" s="192">
        <f t="shared" si="5"/>
        <v>8800</v>
      </c>
      <c r="K39" s="195">
        <f>IF(ISBLANK(D39),"",SUMIF($D$1:D39,D39,$I$1:I39))</f>
        <v>5000</v>
      </c>
      <c r="L39" s="10" t="s">
        <v>134</v>
      </c>
      <c r="M39" s="199">
        <f t="shared" si="3"/>
        <v>65000</v>
      </c>
      <c r="N39" s="10" t="str">
        <f t="shared" si="2"/>
        <v>PDF</v>
      </c>
    </row>
    <row r="40" spans="1:18">
      <c r="A40" s="64">
        <v>202425038</v>
      </c>
      <c r="B40" s="198">
        <v>45482</v>
      </c>
      <c r="C40" s="50" t="s">
        <v>6</v>
      </c>
      <c r="D40" s="10" t="s">
        <v>160</v>
      </c>
      <c r="E40" s="187">
        <f>IF(ISBLANK(D40),"",VLOOKUP(D40,ADMISSION!B:N,9,0))</f>
        <v>12500</v>
      </c>
      <c r="F40" s="187">
        <f>IF(ISBLANK(D40),"",VLOOKUP(D40,ADMISSION!B:N,10,))</f>
        <v>0</v>
      </c>
      <c r="G40" s="192">
        <f t="shared" si="4"/>
        <v>12500</v>
      </c>
      <c r="H40" s="192">
        <f>IF(ISBLANK(D40),"",G40-SUMIF($D$1:D39,D40,$I$1:I39))</f>
        <v>11500</v>
      </c>
      <c r="I40" s="50">
        <v>2000</v>
      </c>
      <c r="J40" s="192">
        <f t="shared" si="5"/>
        <v>9500</v>
      </c>
      <c r="K40" s="195">
        <f>IF(ISBLANK(D40),"",SUMIF($D$1:D40,D40,$I$1:I40))</f>
        <v>3000</v>
      </c>
      <c r="L40" s="10" t="s">
        <v>134</v>
      </c>
      <c r="M40" s="199">
        <f t="shared" si="3"/>
        <v>67000</v>
      </c>
      <c r="N40" s="10" t="str">
        <f t="shared" si="2"/>
        <v>PDF</v>
      </c>
    </row>
    <row r="41" spans="1:18">
      <c r="A41" s="64">
        <v>202425039</v>
      </c>
      <c r="B41" s="198">
        <v>45483</v>
      </c>
      <c r="C41" s="50" t="s">
        <v>9</v>
      </c>
      <c r="D41" s="10" t="s">
        <v>188</v>
      </c>
      <c r="E41" s="187">
        <f>IF(ISBLANK(D41),"",VLOOKUP(D41,ADMISSION!B:N,9,0))</f>
        <v>9500</v>
      </c>
      <c r="F41" s="187">
        <f>IF(ISBLANK(D41),"",VLOOKUP(D41,ADMISSION!B:N,10,))</f>
        <v>0</v>
      </c>
      <c r="G41" s="192">
        <f t="shared" si="4"/>
        <v>9500</v>
      </c>
      <c r="H41" s="192">
        <f>IF(ISBLANK(D41),"",G41-SUMIF($D$1:D40,D41,$I$1:I40))</f>
        <v>9500</v>
      </c>
      <c r="I41" s="50">
        <v>2000</v>
      </c>
      <c r="J41" s="192">
        <f t="shared" si="5"/>
        <v>7500</v>
      </c>
      <c r="K41" s="195">
        <f>IF(ISBLANK(D41),"",SUMIF($D$1:D41,D41,$I$1:I41))</f>
        <v>2000</v>
      </c>
      <c r="L41" s="10" t="s">
        <v>134</v>
      </c>
      <c r="M41" s="199">
        <f t="shared" si="3"/>
        <v>69000</v>
      </c>
      <c r="N41" s="10" t="str">
        <f t="shared" si="2"/>
        <v>PDF</v>
      </c>
    </row>
    <row r="42" spans="1:18">
      <c r="A42" s="64">
        <v>202425040</v>
      </c>
      <c r="B42" s="198">
        <v>45483</v>
      </c>
      <c r="C42" s="50" t="s">
        <v>0</v>
      </c>
      <c r="D42" s="10" t="s">
        <v>191</v>
      </c>
      <c r="E42" s="187">
        <f>IF(ISBLANK(D42),"",VLOOKUP(D42,ADMISSION!B:N,9,0))</f>
        <v>3000</v>
      </c>
      <c r="F42" s="187">
        <f>IF(ISBLANK(D42),"",VLOOKUP(D42,ADMISSION!B:N,10,))</f>
        <v>0</v>
      </c>
      <c r="G42" s="192">
        <f t="shared" si="4"/>
        <v>3000</v>
      </c>
      <c r="H42" s="192">
        <f>IF(ISBLANK(D42),"",G42-SUMIF($D$1:D41,D42,$I$1:I41))</f>
        <v>3000</v>
      </c>
      <c r="I42" s="50">
        <v>1500</v>
      </c>
      <c r="J42" s="192">
        <f t="shared" si="5"/>
        <v>1500</v>
      </c>
      <c r="K42" s="195">
        <f>IF(ISBLANK(D42),"",SUMIF($D$1:D42,D42,$I$1:I42))</f>
        <v>1500</v>
      </c>
      <c r="L42" s="10" t="s">
        <v>193</v>
      </c>
      <c r="M42" s="199">
        <f t="shared" si="3"/>
        <v>70500</v>
      </c>
      <c r="N42" s="10" t="str">
        <f t="shared" si="2"/>
        <v>PDF</v>
      </c>
    </row>
    <row r="43" spans="1:18">
      <c r="A43" s="64">
        <v>202425041</v>
      </c>
      <c r="B43" s="198">
        <v>45486</v>
      </c>
      <c r="C43" s="50" t="s">
        <v>10</v>
      </c>
      <c r="D43" s="10" t="s">
        <v>194</v>
      </c>
      <c r="E43" s="187">
        <f>IF(ISBLANK(D43),"",VLOOKUP(D43,ADMISSION!B:N,9,0))</f>
        <v>13000</v>
      </c>
      <c r="F43" s="187">
        <f>IF(ISBLANK(D43),"",VLOOKUP(D43,ADMISSION!B:N,10,))</f>
        <v>700</v>
      </c>
      <c r="G43" s="192">
        <f t="shared" si="4"/>
        <v>12300</v>
      </c>
      <c r="H43" s="192">
        <f>IF(ISBLANK(D43),"",G43-SUMIF($D$1:D42,D43,$I$1:I42))</f>
        <v>12300</v>
      </c>
      <c r="I43" s="50">
        <v>2000</v>
      </c>
      <c r="J43" s="192">
        <f t="shared" si="5"/>
        <v>10300</v>
      </c>
      <c r="K43" s="195">
        <f>IF(ISBLANK(D43),"",SUMIF($D$1:D43,D43,$I$1:I43))</f>
        <v>2000</v>
      </c>
      <c r="L43" s="10" t="s">
        <v>193</v>
      </c>
      <c r="M43" s="199">
        <f t="shared" si="3"/>
        <v>72500</v>
      </c>
      <c r="N43" s="10" t="str">
        <f t="shared" si="2"/>
        <v>PDF</v>
      </c>
    </row>
    <row r="44" spans="1:18">
      <c r="A44" s="64">
        <v>202425042</v>
      </c>
      <c r="B44" s="198">
        <v>45486</v>
      </c>
      <c r="C44" s="50" t="s">
        <v>8</v>
      </c>
      <c r="D44" s="10" t="s">
        <v>81</v>
      </c>
      <c r="E44" s="187">
        <f>IF(ISBLANK(D44),"",VLOOKUP(D44,ADMISSION!B:N,9,0))</f>
        <v>7000</v>
      </c>
      <c r="F44" s="187">
        <f>IF(ISBLANK(D44),"",VLOOKUP(D44,ADMISSION!B:N,10,))</f>
        <v>400</v>
      </c>
      <c r="G44" s="192">
        <f t="shared" si="4"/>
        <v>6600</v>
      </c>
      <c r="H44" s="192">
        <f>IF(ISBLANK(D44),"",G44-SUMIF($D$1:D43,D44,$I$1:I43))</f>
        <v>6600</v>
      </c>
      <c r="I44" s="50">
        <v>1000</v>
      </c>
      <c r="J44" s="192">
        <f t="shared" si="5"/>
        <v>5600</v>
      </c>
      <c r="K44" s="195">
        <f>IF(ISBLANK(D44),"",SUMIF($D$1:D44,D44,$I$1:I44))</f>
        <v>1000</v>
      </c>
      <c r="L44" s="10" t="s">
        <v>193</v>
      </c>
      <c r="M44" s="199">
        <f t="shared" si="3"/>
        <v>73500</v>
      </c>
      <c r="N44" s="10" t="str">
        <f t="shared" si="2"/>
        <v>PDF</v>
      </c>
    </row>
    <row r="45" spans="1:18">
      <c r="A45" s="64">
        <v>202425043</v>
      </c>
      <c r="B45" s="198">
        <v>45486</v>
      </c>
      <c r="C45" s="50" t="s">
        <v>7</v>
      </c>
      <c r="D45" s="10" t="s">
        <v>94</v>
      </c>
      <c r="E45" s="187">
        <f>IF(ISBLANK(D45),"",VLOOKUP(D45,ADMISSION!B:N,9,0))</f>
        <v>4500</v>
      </c>
      <c r="F45" s="187">
        <f>IF(ISBLANK(D45),"",VLOOKUP(D45,ADMISSION!B:N,10,))</f>
        <v>300</v>
      </c>
      <c r="G45" s="192">
        <f t="shared" si="4"/>
        <v>4200</v>
      </c>
      <c r="H45" s="192">
        <f>IF(ISBLANK(D45),"",G45-SUMIF($D$1:D44,D45,$I$1:I44))</f>
        <v>4200</v>
      </c>
      <c r="I45" s="50">
        <v>1000</v>
      </c>
      <c r="J45" s="192">
        <f t="shared" si="5"/>
        <v>3200</v>
      </c>
      <c r="K45" s="195">
        <f>IF(ISBLANK(D45),"",SUMIF($D$1:D45,D45,$I$1:I45))</f>
        <v>1000</v>
      </c>
      <c r="L45" s="10" t="s">
        <v>193</v>
      </c>
      <c r="M45" s="199">
        <f t="shared" si="3"/>
        <v>74500</v>
      </c>
      <c r="N45" s="10" t="str">
        <f t="shared" si="2"/>
        <v>PDF</v>
      </c>
    </row>
    <row r="46" spans="1:18">
      <c r="A46" s="64">
        <v>202425044</v>
      </c>
      <c r="B46" s="198">
        <v>45486</v>
      </c>
      <c r="C46" s="50" t="s">
        <v>6</v>
      </c>
      <c r="D46" s="10" t="s">
        <v>195</v>
      </c>
      <c r="E46" s="187">
        <f>IF(ISBLANK(D46),"",VLOOKUP(D46,ADMISSION!B:N,9,0))</f>
        <v>12500</v>
      </c>
      <c r="F46" s="187">
        <f>IF(ISBLANK(D46),"",VLOOKUP(D46,ADMISSION!B:N,10,))</f>
        <v>0</v>
      </c>
      <c r="G46" s="192">
        <f t="shared" si="4"/>
        <v>12500</v>
      </c>
      <c r="H46" s="192">
        <f>IF(ISBLANK(D46),"",G46-SUMIF($D$1:D45,D46,$I$1:I45))</f>
        <v>12500</v>
      </c>
      <c r="I46" s="50">
        <v>6250</v>
      </c>
      <c r="J46" s="192">
        <f t="shared" si="5"/>
        <v>6250</v>
      </c>
      <c r="K46" s="195">
        <f>IF(ISBLANK(D46),"",SUMIF($D$1:D46,D46,$I$1:I46))</f>
        <v>6250</v>
      </c>
      <c r="L46" s="10" t="s">
        <v>197</v>
      </c>
      <c r="M46" s="199">
        <f t="shared" si="3"/>
        <v>80750</v>
      </c>
      <c r="N46" s="10" t="str">
        <f t="shared" si="2"/>
        <v>PDF</v>
      </c>
      <c r="O46" s="10">
        <v>589738</v>
      </c>
    </row>
    <row r="47" spans="1:18">
      <c r="A47" s="64">
        <v>202425045</v>
      </c>
      <c r="B47" s="198">
        <v>45492</v>
      </c>
      <c r="C47" s="50" t="s">
        <v>9</v>
      </c>
      <c r="D47" s="10" t="s">
        <v>103</v>
      </c>
      <c r="E47" s="187">
        <f>IF(ISBLANK(D47),"",VLOOKUP(D47,ADMISSION!B:N,9,0))</f>
        <v>9500</v>
      </c>
      <c r="F47" s="187">
        <f>IF(ISBLANK(D47),"",VLOOKUP(D47,ADMISSION!B:N,10,))</f>
        <v>0</v>
      </c>
      <c r="G47" s="192">
        <f t="shared" si="4"/>
        <v>9500</v>
      </c>
      <c r="H47" s="192">
        <f>IF(ISBLANK(D47),"",G47-SUMIF($D$1:D46,D47,$I$1:I46))</f>
        <v>9500</v>
      </c>
      <c r="I47" s="50">
        <v>2000</v>
      </c>
      <c r="J47" s="192">
        <f t="shared" si="5"/>
        <v>7500</v>
      </c>
      <c r="K47" s="195">
        <f>IF(ISBLANK(D47),"",SUMIF($D$1:D47,D47,$I$1:I47))</f>
        <v>2000</v>
      </c>
      <c r="L47" s="10" t="s">
        <v>134</v>
      </c>
      <c r="M47" s="199">
        <f t="shared" si="3"/>
        <v>82750</v>
      </c>
      <c r="N47" s="10" t="str">
        <f t="shared" si="2"/>
        <v>PDF</v>
      </c>
    </row>
    <row r="48" spans="1:18">
      <c r="A48" s="64">
        <v>202425046</v>
      </c>
      <c r="E48" s="187" t="str">
        <f>IF(ISBLANK(D48),"",VLOOKUP(D48,ADMISSION!B:N,9,0))</f>
        <v/>
      </c>
      <c r="F48" s="187" t="str">
        <f>IF(ISBLANK(D48),"",VLOOKUP(D48,ADMISSION!B:N,10,))</f>
        <v/>
      </c>
      <c r="G48" s="192" t="str">
        <f t="shared" si="4"/>
        <v/>
      </c>
      <c r="H48" s="192" t="str">
        <f>IF(ISBLANK(D48),"",G48-SUMIF($D$1:D47,D48,$I$1:I47))</f>
        <v/>
      </c>
      <c r="J48" s="192" t="str">
        <f t="shared" si="5"/>
        <v/>
      </c>
      <c r="K48" s="195" t="str">
        <f>IF(ISBLANK(D48),"",SUMIF($D$1:D48,D48,$I$1:I48))</f>
        <v/>
      </c>
      <c r="M48" s="199" t="str">
        <f t="shared" si="3"/>
        <v xml:space="preserve"> </v>
      </c>
      <c r="N48" s="10" t="str">
        <f t="shared" si="2"/>
        <v xml:space="preserve"> </v>
      </c>
    </row>
    <row r="49" spans="1:14">
      <c r="A49" s="64">
        <v>202425047</v>
      </c>
      <c r="E49" s="187" t="str">
        <f>IF(ISBLANK(D49),"",VLOOKUP(D49,ADMISSION!B:N,9,0))</f>
        <v/>
      </c>
      <c r="F49" s="187" t="str">
        <f>IF(ISBLANK(D49),"",VLOOKUP(D49,ADMISSION!B:N,10,))</f>
        <v/>
      </c>
      <c r="G49" s="192" t="str">
        <f t="shared" si="4"/>
        <v/>
      </c>
      <c r="H49" s="192" t="str">
        <f>IF(ISBLANK(D49),"",G49-SUMIF($D$1:D48,D49,$I$1:I48))</f>
        <v/>
      </c>
      <c r="J49" s="192" t="str">
        <f t="shared" si="5"/>
        <v/>
      </c>
      <c r="K49" s="195" t="str">
        <f>IF(ISBLANK(D49),"",SUMIF($D$1:D49,D49,$I$1:I49))</f>
        <v/>
      </c>
      <c r="M49" s="199" t="str">
        <f t="shared" si="3"/>
        <v xml:space="preserve"> </v>
      </c>
      <c r="N49" s="10" t="str">
        <f t="shared" si="2"/>
        <v xml:space="preserve"> </v>
      </c>
    </row>
    <row r="50" spans="1:14">
      <c r="A50" s="64">
        <v>202425048</v>
      </c>
      <c r="E50" s="187" t="str">
        <f>IF(ISBLANK(D50),"",VLOOKUP(D50,ADMISSION!B:N,9,0))</f>
        <v/>
      </c>
      <c r="F50" s="187" t="str">
        <f>IF(ISBLANK(D50),"",VLOOKUP(D50,ADMISSION!B:N,10,))</f>
        <v/>
      </c>
      <c r="G50" s="192" t="str">
        <f t="shared" si="4"/>
        <v/>
      </c>
      <c r="H50" s="192" t="str">
        <f>IF(ISBLANK(D50),"",G50-SUMIF($D$1:D49,D50,$I$1:I49))</f>
        <v/>
      </c>
      <c r="J50" s="192" t="str">
        <f t="shared" si="5"/>
        <v/>
      </c>
      <c r="K50" s="195" t="str">
        <f>IF(ISBLANK(D50),"",SUMIF($D$1:D50,D50,$I$1:I50))</f>
        <v/>
      </c>
      <c r="M50" s="199" t="str">
        <f t="shared" si="3"/>
        <v xml:space="preserve"> </v>
      </c>
      <c r="N50" s="10" t="str">
        <f t="shared" si="2"/>
        <v xml:space="preserve"> </v>
      </c>
    </row>
    <row r="51" spans="1:14">
      <c r="A51" s="64">
        <v>202425049</v>
      </c>
      <c r="E51" s="187" t="str">
        <f>IF(ISBLANK(D51),"",VLOOKUP(D51,ADMISSION!B:N,9,0))</f>
        <v/>
      </c>
      <c r="F51" s="187" t="str">
        <f>IF(ISBLANK(D51),"",VLOOKUP(D51,ADMISSION!B:N,10,))</f>
        <v/>
      </c>
      <c r="G51" s="192" t="str">
        <f t="shared" si="4"/>
        <v/>
      </c>
      <c r="H51" s="192" t="str">
        <f>IF(ISBLANK(D51),"",G51-SUMIF($D$1:D50,D51,$I$1:I50))</f>
        <v/>
      </c>
      <c r="J51" s="192" t="str">
        <f t="shared" si="5"/>
        <v/>
      </c>
      <c r="K51" s="195" t="str">
        <f>IF(ISBLANK(D51),"",SUMIF($D$1:D51,D51,$I$1:I51))</f>
        <v/>
      </c>
      <c r="M51" s="199" t="str">
        <f t="shared" si="3"/>
        <v xml:space="preserve"> </v>
      </c>
      <c r="N51" s="10" t="str">
        <f t="shared" si="2"/>
        <v xml:space="preserve"> </v>
      </c>
    </row>
    <row r="52" spans="1:14">
      <c r="A52" s="64">
        <v>202425050</v>
      </c>
      <c r="E52" s="187" t="str">
        <f>IF(ISBLANK(D52),"",VLOOKUP(D52,ADMISSION!B:N,9,0))</f>
        <v/>
      </c>
      <c r="F52" s="187" t="str">
        <f>IF(ISBLANK(D52),"",VLOOKUP(D52,ADMISSION!B:N,10,))</f>
        <v/>
      </c>
      <c r="G52" s="192" t="str">
        <f t="shared" si="4"/>
        <v/>
      </c>
      <c r="H52" s="192" t="str">
        <f>IF(ISBLANK(D52),"",G52-SUMIF($D$1:D51,D52,$I$1:I51))</f>
        <v/>
      </c>
      <c r="J52" s="192" t="str">
        <f t="shared" si="5"/>
        <v/>
      </c>
      <c r="K52" s="195" t="str">
        <f>IF(ISBLANK(D52),"",SUMIF($D$1:D52,D52,$I$1:I52))</f>
        <v/>
      </c>
      <c r="M52" s="199" t="str">
        <f t="shared" si="3"/>
        <v xml:space="preserve"> </v>
      </c>
      <c r="N52" s="10" t="str">
        <f t="shared" si="2"/>
        <v xml:space="preserve"> </v>
      </c>
    </row>
    <row r="53" spans="1:14">
      <c r="A53" s="64">
        <v>202425051</v>
      </c>
      <c r="E53" s="187" t="str">
        <f>IF(ISBLANK(D53),"",VLOOKUP(D53,ADMISSION!B:N,9,0))</f>
        <v/>
      </c>
      <c r="F53" s="187" t="str">
        <f>IF(ISBLANK(D53),"",VLOOKUP(D53,ADMISSION!B:N,10,))</f>
        <v/>
      </c>
      <c r="G53" s="192" t="str">
        <f t="shared" si="4"/>
        <v/>
      </c>
      <c r="H53" s="192" t="str">
        <f>IF(ISBLANK(D53),"",G53-SUMIF($D$1:D52,D53,$I$1:I52))</f>
        <v/>
      </c>
      <c r="J53" s="192" t="str">
        <f t="shared" si="5"/>
        <v/>
      </c>
      <c r="K53" s="195" t="str">
        <f>IF(ISBLANK(D53),"",SUMIF($D$1:D53,D53,$I$1:I53))</f>
        <v/>
      </c>
      <c r="M53" s="199" t="str">
        <f t="shared" si="3"/>
        <v xml:space="preserve"> </v>
      </c>
      <c r="N53" s="10" t="str">
        <f t="shared" si="2"/>
        <v xml:space="preserve"> </v>
      </c>
    </row>
    <row r="54" spans="1:14">
      <c r="A54" s="64">
        <v>202425052</v>
      </c>
      <c r="E54" s="187" t="str">
        <f>IF(ISBLANK(D54),"",VLOOKUP(D54,ADMISSION!B:N,9,0))</f>
        <v/>
      </c>
      <c r="F54" s="187" t="str">
        <f>IF(ISBLANK(D54),"",VLOOKUP(D54,ADMISSION!B:N,10,))</f>
        <v/>
      </c>
      <c r="G54" s="192" t="str">
        <f t="shared" si="4"/>
        <v/>
      </c>
      <c r="H54" s="192" t="str">
        <f>IF(ISBLANK(D54),"",G54-SUMIF($D$1:D53,D54,$I$1:I53))</f>
        <v/>
      </c>
      <c r="J54" s="192" t="str">
        <f t="shared" si="5"/>
        <v/>
      </c>
      <c r="K54" s="195" t="str">
        <f>IF(ISBLANK(D54),"",SUMIF($D$1:D54,D54,$I$1:I54))</f>
        <v/>
      </c>
      <c r="M54" s="199" t="str">
        <f t="shared" si="3"/>
        <v xml:space="preserve"> </v>
      </c>
      <c r="N54" s="10" t="str">
        <f t="shared" si="2"/>
        <v xml:space="preserve"> </v>
      </c>
    </row>
    <row r="55" spans="1:14">
      <c r="A55" s="64">
        <v>202425053</v>
      </c>
      <c r="E55" s="187" t="str">
        <f>IF(ISBLANK(D55),"",VLOOKUP(D55,ADMISSION!B:N,9,0))</f>
        <v/>
      </c>
      <c r="F55" s="187" t="str">
        <f>IF(ISBLANK(D55),"",VLOOKUP(D55,ADMISSION!B:N,10,))</f>
        <v/>
      </c>
      <c r="G55" s="192" t="str">
        <f t="shared" si="4"/>
        <v/>
      </c>
      <c r="H55" s="192" t="str">
        <f>IF(ISBLANK(D55),"",G55-SUMIF($D$1:D54,D55,$I$1:I54))</f>
        <v/>
      </c>
      <c r="J55" s="192" t="str">
        <f t="shared" si="5"/>
        <v/>
      </c>
      <c r="K55" s="195" t="str">
        <f>IF(ISBLANK(D55),"",SUMIF($D$1:D55,D55,$I$1:I55))</f>
        <v/>
      </c>
      <c r="M55" s="199" t="str">
        <f t="shared" si="3"/>
        <v xml:space="preserve"> </v>
      </c>
      <c r="N55" s="10" t="str">
        <f t="shared" si="2"/>
        <v xml:space="preserve"> </v>
      </c>
    </row>
    <row r="56" spans="1:14">
      <c r="A56" s="64">
        <v>202425054</v>
      </c>
      <c r="E56" s="187" t="str">
        <f>IF(ISBLANK(D56),"",VLOOKUP(D56,ADMISSION!B:N,9,0))</f>
        <v/>
      </c>
      <c r="F56" s="187" t="str">
        <f>IF(ISBLANK(D56),"",VLOOKUP(D56,ADMISSION!B:N,10,))</f>
        <v/>
      </c>
      <c r="G56" s="192" t="str">
        <f t="shared" si="4"/>
        <v/>
      </c>
      <c r="H56" s="192" t="str">
        <f>IF(ISBLANK(D56),"",G56-SUMIF($D$1:D55,D56,$I$1:I55))</f>
        <v/>
      </c>
      <c r="J56" s="192" t="str">
        <f t="shared" si="5"/>
        <v/>
      </c>
      <c r="K56" s="195" t="str">
        <f>IF(ISBLANK(D56),"",SUMIF($D$1:D56,D56,$I$1:I56))</f>
        <v/>
      </c>
      <c r="M56" s="199" t="str">
        <f t="shared" si="3"/>
        <v xml:space="preserve"> </v>
      </c>
      <c r="N56" s="10" t="str">
        <f t="shared" si="2"/>
        <v xml:space="preserve"> </v>
      </c>
    </row>
    <row r="57" spans="1:14">
      <c r="A57" s="64">
        <v>202425055</v>
      </c>
      <c r="E57" s="187" t="str">
        <f>IF(ISBLANK(D57),"",VLOOKUP(D57,ADMISSION!B:N,9,0))</f>
        <v/>
      </c>
      <c r="F57" s="187" t="str">
        <f>IF(ISBLANK(D57),"",VLOOKUP(D57,ADMISSION!B:N,10,))</f>
        <v/>
      </c>
      <c r="G57" s="192" t="str">
        <f t="shared" si="4"/>
        <v/>
      </c>
      <c r="H57" s="192" t="str">
        <f>IF(ISBLANK(D57),"",G57-SUMIF($D$1:D56,D57,$I$1:I56))</f>
        <v/>
      </c>
      <c r="J57" s="192" t="str">
        <f t="shared" si="5"/>
        <v/>
      </c>
      <c r="K57" s="195" t="str">
        <f>IF(ISBLANK(D57),"",SUMIF($D$1:D57,D57,$I$1:I57))</f>
        <v/>
      </c>
      <c r="M57" s="199" t="str">
        <f t="shared" si="3"/>
        <v xml:space="preserve"> </v>
      </c>
      <c r="N57" s="10" t="str">
        <f t="shared" si="2"/>
        <v xml:space="preserve"> </v>
      </c>
    </row>
    <row r="58" spans="1:14">
      <c r="A58" s="64">
        <v>202425056</v>
      </c>
      <c r="E58" s="187" t="str">
        <f>IF(ISBLANK(D58),"",VLOOKUP(D58,ADMISSION!B:N,9,0))</f>
        <v/>
      </c>
      <c r="F58" s="187" t="str">
        <f>IF(ISBLANK(D58),"",VLOOKUP(D58,ADMISSION!B:N,10,))</f>
        <v/>
      </c>
      <c r="G58" s="192" t="str">
        <f t="shared" si="4"/>
        <v/>
      </c>
      <c r="H58" s="192" t="str">
        <f>IF(ISBLANK(D58),"",G58-SUMIF($D$1:D57,D58,$I$1:I57))</f>
        <v/>
      </c>
      <c r="J58" s="192" t="str">
        <f t="shared" si="5"/>
        <v/>
      </c>
      <c r="K58" s="195" t="str">
        <f>IF(ISBLANK(D58),"",SUMIF($D$1:D58,D58,$I$1:I58))</f>
        <v/>
      </c>
      <c r="M58" s="199" t="str">
        <f t="shared" si="3"/>
        <v xml:space="preserve"> </v>
      </c>
      <c r="N58" s="10" t="str">
        <f t="shared" si="2"/>
        <v xml:space="preserve"> </v>
      </c>
    </row>
    <row r="59" spans="1:14">
      <c r="A59" s="64">
        <v>202425057</v>
      </c>
      <c r="E59" s="187" t="str">
        <f>IF(ISBLANK(D59),"",VLOOKUP(D59,ADMISSION!B:N,9,0))</f>
        <v/>
      </c>
      <c r="F59" s="187" t="str">
        <f>IF(ISBLANK(D59),"",VLOOKUP(D59,ADMISSION!B:N,10,))</f>
        <v/>
      </c>
      <c r="G59" s="192" t="str">
        <f t="shared" si="4"/>
        <v/>
      </c>
      <c r="H59" s="192" t="str">
        <f>IF(ISBLANK(D59),"",G59-SUMIF($D$1:D58,D59,$I$1:I58))</f>
        <v/>
      </c>
      <c r="J59" s="192" t="str">
        <f t="shared" si="5"/>
        <v/>
      </c>
      <c r="K59" s="195" t="str">
        <f>IF(ISBLANK(D59),"",SUMIF($D$1:D59,D59,$I$1:I59))</f>
        <v/>
      </c>
      <c r="M59" s="199" t="str">
        <f t="shared" si="3"/>
        <v xml:space="preserve"> </v>
      </c>
      <c r="N59" s="10" t="str">
        <f t="shared" si="2"/>
        <v xml:space="preserve"> </v>
      </c>
    </row>
    <row r="60" spans="1:14">
      <c r="A60" s="64">
        <v>202425058</v>
      </c>
      <c r="E60" s="187" t="str">
        <f>IF(ISBLANK(D60),"",VLOOKUP(D60,ADMISSION!B:N,9,0))</f>
        <v/>
      </c>
      <c r="F60" s="187" t="str">
        <f>IF(ISBLANK(D60),"",VLOOKUP(D60,ADMISSION!B:N,10,))</f>
        <v/>
      </c>
      <c r="G60" s="192" t="str">
        <f t="shared" si="4"/>
        <v/>
      </c>
      <c r="H60" s="192" t="str">
        <f>IF(ISBLANK(D60),"",G60-SUMIF($D$1:D59,D60,$I$1:I59))</f>
        <v/>
      </c>
      <c r="J60" s="192" t="str">
        <f t="shared" si="5"/>
        <v/>
      </c>
      <c r="K60" s="195" t="str">
        <f>IF(ISBLANK(D60),"",SUMIF($D$1:D60,D60,$I$1:I60))</f>
        <v/>
      </c>
      <c r="M60" s="199" t="str">
        <f t="shared" si="3"/>
        <v xml:space="preserve"> </v>
      </c>
      <c r="N60" s="10" t="str">
        <f t="shared" si="2"/>
        <v xml:space="preserve"> </v>
      </c>
    </row>
    <row r="61" spans="1:14">
      <c r="A61" s="64">
        <v>202425059</v>
      </c>
      <c r="E61" s="187" t="str">
        <f>IF(ISBLANK(D61),"",VLOOKUP(D61,ADMISSION!B:N,9,0))</f>
        <v/>
      </c>
      <c r="F61" s="187" t="str">
        <f>IF(ISBLANK(D61),"",VLOOKUP(D61,ADMISSION!B:N,10,))</f>
        <v/>
      </c>
      <c r="G61" s="192" t="str">
        <f t="shared" si="4"/>
        <v/>
      </c>
      <c r="H61" s="192" t="str">
        <f>IF(ISBLANK(D61),"",G61-SUMIF($D$1:D60,D61,$I$1:I60))</f>
        <v/>
      </c>
      <c r="J61" s="192" t="str">
        <f t="shared" si="5"/>
        <v/>
      </c>
      <c r="K61" s="195" t="str">
        <f>IF(ISBLANK(D61),"",SUMIF($D$1:D61,D61,$I$1:I61))</f>
        <v/>
      </c>
      <c r="M61" s="199" t="str">
        <f t="shared" si="3"/>
        <v xml:space="preserve"> </v>
      </c>
      <c r="N61" s="10" t="str">
        <f t="shared" si="2"/>
        <v xml:space="preserve"> </v>
      </c>
    </row>
    <row r="62" spans="1:14">
      <c r="A62" s="64">
        <v>202425060</v>
      </c>
      <c r="E62" s="187" t="str">
        <f>IF(ISBLANK(D62),"",VLOOKUP(D62,ADMISSION!B:N,9,0))</f>
        <v/>
      </c>
      <c r="F62" s="187" t="str">
        <f>IF(ISBLANK(D62),"",VLOOKUP(D62,ADMISSION!B:N,10,))</f>
        <v/>
      </c>
      <c r="G62" s="192" t="str">
        <f t="shared" si="4"/>
        <v/>
      </c>
      <c r="H62" s="192" t="str">
        <f>IF(ISBLANK(D62),"",G62-SUMIF($D$1:D61,D62,$I$1:I61))</f>
        <v/>
      </c>
      <c r="J62" s="192" t="str">
        <f t="shared" si="5"/>
        <v/>
      </c>
      <c r="K62" s="195" t="str">
        <f>IF(ISBLANK(D62),"",SUMIF($D$1:D62,D62,$I$1:I62))</f>
        <v/>
      </c>
      <c r="M62" s="199" t="str">
        <f t="shared" si="3"/>
        <v xml:space="preserve"> </v>
      </c>
      <c r="N62" s="10" t="str">
        <f t="shared" si="2"/>
        <v xml:space="preserve"> </v>
      </c>
    </row>
    <row r="63" spans="1:14">
      <c r="A63" s="64">
        <v>202425061</v>
      </c>
      <c r="E63" s="187" t="str">
        <f>IF(ISBLANK(D63),"",VLOOKUP(D63,ADMISSION!B:N,9,0))</f>
        <v/>
      </c>
      <c r="F63" s="187" t="str">
        <f>IF(ISBLANK(D63),"",VLOOKUP(D63,ADMISSION!B:N,10,))</f>
        <v/>
      </c>
      <c r="G63" s="192" t="str">
        <f t="shared" si="4"/>
        <v/>
      </c>
      <c r="H63" s="192" t="str">
        <f>IF(ISBLANK(D63),"",G63-SUMIF($D$1:D62,D63,$I$1:I62))</f>
        <v/>
      </c>
      <c r="J63" s="192" t="str">
        <f t="shared" si="5"/>
        <v/>
      </c>
      <c r="K63" s="195" t="str">
        <f>IF(ISBLANK(D63),"",SUMIF($D$1:D63,D63,$I$1:I63))</f>
        <v/>
      </c>
      <c r="M63" s="199" t="str">
        <f t="shared" si="3"/>
        <v xml:space="preserve"> </v>
      </c>
      <c r="N63" s="10" t="str">
        <f t="shared" si="2"/>
        <v xml:space="preserve"> </v>
      </c>
    </row>
    <row r="64" spans="1:14">
      <c r="A64" s="64">
        <v>202425062</v>
      </c>
      <c r="E64" s="187" t="str">
        <f>IF(ISBLANK(D64),"",VLOOKUP(D64,ADMISSION!B:N,9,0))</f>
        <v/>
      </c>
      <c r="F64" s="187" t="str">
        <f>IF(ISBLANK(D64),"",VLOOKUP(D64,ADMISSION!B:N,10,))</f>
        <v/>
      </c>
      <c r="G64" s="192" t="str">
        <f t="shared" si="4"/>
        <v/>
      </c>
      <c r="H64" s="192" t="str">
        <f>IF(ISBLANK(D64),"",G64-SUMIF($D$1:D63,D64,$I$1:I63))</f>
        <v/>
      </c>
      <c r="J64" s="192" t="str">
        <f t="shared" si="5"/>
        <v/>
      </c>
      <c r="K64" s="195" t="str">
        <f>IF(ISBLANK(D64),"",SUMIF($D$1:D64,D64,$I$1:I64))</f>
        <v/>
      </c>
      <c r="M64" s="199" t="str">
        <f t="shared" si="3"/>
        <v xml:space="preserve"> </v>
      </c>
      <c r="N64" s="10" t="str">
        <f t="shared" si="2"/>
        <v xml:space="preserve"> </v>
      </c>
    </row>
    <row r="65" spans="1:14">
      <c r="A65" s="64">
        <v>202425063</v>
      </c>
      <c r="E65" s="187" t="str">
        <f>IF(ISBLANK(D65),"",VLOOKUP(D65,ADMISSION!B:N,9,0))</f>
        <v/>
      </c>
      <c r="F65" s="187" t="str">
        <f>IF(ISBLANK(D65),"",VLOOKUP(D65,ADMISSION!B:N,10,))</f>
        <v/>
      </c>
      <c r="G65" s="192" t="str">
        <f t="shared" si="4"/>
        <v/>
      </c>
      <c r="H65" s="192" t="str">
        <f>IF(ISBLANK(D65),"",G65-SUMIF($D$1:D64,D65,$I$1:I64))</f>
        <v/>
      </c>
      <c r="J65" s="192" t="str">
        <f t="shared" si="5"/>
        <v/>
      </c>
      <c r="K65" s="195" t="str">
        <f>IF(ISBLANK(D65),"",SUMIF($D$1:D65,D65,$I$1:I65))</f>
        <v/>
      </c>
      <c r="M65" s="199" t="str">
        <f t="shared" si="3"/>
        <v xml:space="preserve"> </v>
      </c>
      <c r="N65" s="10" t="str">
        <f t="shared" si="2"/>
        <v xml:space="preserve"> </v>
      </c>
    </row>
    <row r="66" spans="1:14">
      <c r="A66" s="64">
        <v>202425064</v>
      </c>
      <c r="E66" s="187" t="str">
        <f>IF(ISBLANK(D66),"",VLOOKUP(D66,ADMISSION!B:N,9,0))</f>
        <v/>
      </c>
      <c r="F66" s="187" t="str">
        <f>IF(ISBLANK(D66),"",VLOOKUP(D66,ADMISSION!B:N,10,))</f>
        <v/>
      </c>
      <c r="G66" s="192" t="str">
        <f t="shared" si="4"/>
        <v/>
      </c>
      <c r="H66" s="192" t="str">
        <f>IF(ISBLANK(D66),"",G66-SUMIF($D$1:D65,D66,$I$1:I65))</f>
        <v/>
      </c>
      <c r="J66" s="192" t="str">
        <f t="shared" si="5"/>
        <v/>
      </c>
      <c r="K66" s="195" t="str">
        <f>IF(ISBLANK(D66),"",SUMIF($D$1:D66,D66,$I$1:I66))</f>
        <v/>
      </c>
      <c r="M66" s="199" t="str">
        <f t="shared" si="3"/>
        <v xml:space="preserve"> </v>
      </c>
      <c r="N66" s="10" t="str">
        <f t="shared" si="2"/>
        <v xml:space="preserve"> </v>
      </c>
    </row>
    <row r="67" spans="1:14">
      <c r="A67" s="64">
        <v>202425065</v>
      </c>
      <c r="E67" s="187" t="str">
        <f>IF(ISBLANK(D67),"",VLOOKUP(D67,ADMISSION!B:N,9,0))</f>
        <v/>
      </c>
      <c r="F67" s="187" t="str">
        <f>IF(ISBLANK(D67),"",VLOOKUP(D67,ADMISSION!B:N,10,))</f>
        <v/>
      </c>
      <c r="G67" s="192" t="str">
        <f t="shared" ref="G67:G98" si="6">IF(ISBLANK(D67),"",E67-F67)</f>
        <v/>
      </c>
      <c r="H67" s="192" t="str">
        <f>IF(ISBLANK(D67),"",G67-SUMIF($D$1:D66,D67,$I$1:I66))</f>
        <v/>
      </c>
      <c r="J67" s="192" t="str">
        <f t="shared" ref="J67:J98" si="7">IF(ISBLANK(D67),"",G67-K67)</f>
        <v/>
      </c>
      <c r="K67" s="195" t="str">
        <f>IF(ISBLANK(D67),"",SUMIF($D$1:D67,D67,$I$1:I67))</f>
        <v/>
      </c>
      <c r="M67" s="199" t="str">
        <f t="shared" si="3"/>
        <v xml:space="preserve"> </v>
      </c>
      <c r="N67" s="10" t="str">
        <f t="shared" si="2"/>
        <v xml:space="preserve"> </v>
      </c>
    </row>
    <row r="68" spans="1:14">
      <c r="A68" s="64">
        <v>202425066</v>
      </c>
      <c r="E68" s="187" t="str">
        <f>IF(ISBLANK(D68),"",VLOOKUP(D68,ADMISSION!B:N,9,0))</f>
        <v/>
      </c>
      <c r="F68" s="187" t="str">
        <f>IF(ISBLANK(D68),"",VLOOKUP(D68,ADMISSION!B:N,10,))</f>
        <v/>
      </c>
      <c r="G68" s="192" t="str">
        <f t="shared" si="6"/>
        <v/>
      </c>
      <c r="H68" s="192" t="str">
        <f>IF(ISBLANK(D68),"",G68-SUMIF($D$1:D67,D68,$I$1:I67))</f>
        <v/>
      </c>
      <c r="J68" s="192" t="str">
        <f t="shared" si="7"/>
        <v/>
      </c>
      <c r="K68" s="195" t="str">
        <f>IF(ISBLANK(D68),"",SUMIF($D$1:D68,D68,$I$1:I68))</f>
        <v/>
      </c>
      <c r="M68" s="199" t="str">
        <f t="shared" si="3"/>
        <v xml:space="preserve"> </v>
      </c>
      <c r="N68" s="10" t="str">
        <f t="shared" ref="N68:N131" si="8">IF(OR(ISBLANK(A68),ISBLANK(D68))," ",HYPERLINK("file:///C:/Users/ADMIN/Desktop/Fee Register 2024-'25/invoice pdf/"&amp;A68&amp;"-"&amp;D68&amp;".pdf","PDF"))</f>
        <v xml:space="preserve"> </v>
      </c>
    </row>
    <row r="69" spans="1:14">
      <c r="A69" s="64">
        <v>202425067</v>
      </c>
      <c r="E69" s="187" t="str">
        <f>IF(ISBLANK(D69),"",VLOOKUP(D69,ADMISSION!B:N,9,0))</f>
        <v/>
      </c>
      <c r="F69" s="187" t="str">
        <f>IF(ISBLANK(D69),"",VLOOKUP(D69,ADMISSION!B:N,10,))</f>
        <v/>
      </c>
      <c r="G69" s="192" t="str">
        <f t="shared" si="6"/>
        <v/>
      </c>
      <c r="H69" s="192" t="str">
        <f>IF(ISBLANK(D69),"",G69-SUMIF($D$1:D68,D69,$I$1:I68))</f>
        <v/>
      </c>
      <c r="J69" s="192" t="str">
        <f t="shared" si="7"/>
        <v/>
      </c>
      <c r="K69" s="195" t="str">
        <f>IF(ISBLANK(D69),"",SUMIF($D$1:D69,D69,$I$1:I69))</f>
        <v/>
      </c>
      <c r="M69" s="199" t="str">
        <f t="shared" ref="M69:M132" si="9">IF(ISBLANK(I69)," ",M68+I69)</f>
        <v xml:space="preserve"> </v>
      </c>
      <c r="N69" s="10" t="str">
        <f t="shared" si="8"/>
        <v xml:space="preserve"> </v>
      </c>
    </row>
    <row r="70" spans="1:14">
      <c r="A70" s="64">
        <v>202425068</v>
      </c>
      <c r="E70" s="187" t="str">
        <f>IF(ISBLANK(D70),"",VLOOKUP(D70,ADMISSION!B:N,9,0))</f>
        <v/>
      </c>
      <c r="F70" s="187" t="str">
        <f>IF(ISBLANK(D70),"",VLOOKUP(D70,ADMISSION!B:N,10,))</f>
        <v/>
      </c>
      <c r="G70" s="192" t="str">
        <f t="shared" si="6"/>
        <v/>
      </c>
      <c r="H70" s="192" t="str">
        <f>IF(ISBLANK(D70),"",G70-SUMIF($D$1:D69,D70,$I$1:I69))</f>
        <v/>
      </c>
      <c r="J70" s="192" t="str">
        <f t="shared" si="7"/>
        <v/>
      </c>
      <c r="K70" s="195" t="str">
        <f>IF(ISBLANK(D70),"",SUMIF($D$1:D70,D70,$I$1:I70))</f>
        <v/>
      </c>
      <c r="M70" s="199" t="str">
        <f t="shared" si="9"/>
        <v xml:space="preserve"> </v>
      </c>
      <c r="N70" s="10" t="str">
        <f t="shared" si="8"/>
        <v xml:space="preserve"> </v>
      </c>
    </row>
    <row r="71" spans="1:14">
      <c r="A71" s="64">
        <v>202425069</v>
      </c>
      <c r="E71" s="187" t="str">
        <f>IF(ISBLANK(D71),"",VLOOKUP(D71,ADMISSION!B:N,9,0))</f>
        <v/>
      </c>
      <c r="F71" s="187" t="str">
        <f>IF(ISBLANK(D71),"",VLOOKUP(D71,ADMISSION!B:N,10,))</f>
        <v/>
      </c>
      <c r="G71" s="192" t="str">
        <f t="shared" si="6"/>
        <v/>
      </c>
      <c r="H71" s="192" t="str">
        <f>IF(ISBLANK(D71),"",G71-SUMIF($D$1:D70,D71,$I$1:I70))</f>
        <v/>
      </c>
      <c r="J71" s="192" t="str">
        <f t="shared" si="7"/>
        <v/>
      </c>
      <c r="K71" s="195" t="str">
        <f>IF(ISBLANK(D71),"",SUMIF($D$1:D71,D71,$I$1:I71))</f>
        <v/>
      </c>
      <c r="M71" s="199" t="str">
        <f t="shared" si="9"/>
        <v xml:space="preserve"> </v>
      </c>
      <c r="N71" s="10" t="str">
        <f t="shared" si="8"/>
        <v xml:space="preserve"> </v>
      </c>
    </row>
    <row r="72" spans="1:14">
      <c r="A72" s="64">
        <v>202425070</v>
      </c>
      <c r="E72" s="187" t="str">
        <f>IF(ISBLANK(D72),"",VLOOKUP(D72,ADMISSION!B:N,9,0))</f>
        <v/>
      </c>
      <c r="F72" s="187" t="str">
        <f>IF(ISBLANK(D72),"",VLOOKUP(D72,ADMISSION!B:N,10,))</f>
        <v/>
      </c>
      <c r="G72" s="192" t="str">
        <f t="shared" si="6"/>
        <v/>
      </c>
      <c r="H72" s="192" t="str">
        <f>IF(ISBLANK(D72),"",G72-SUMIF($D$1:D71,D72,$I$1:I71))</f>
        <v/>
      </c>
      <c r="J72" s="192" t="str">
        <f t="shared" si="7"/>
        <v/>
      </c>
      <c r="K72" s="195" t="str">
        <f>IF(ISBLANK(D72),"",SUMIF($D$1:D72,D72,$I$1:I72))</f>
        <v/>
      </c>
      <c r="M72" s="199" t="str">
        <f t="shared" si="9"/>
        <v xml:space="preserve"> </v>
      </c>
      <c r="N72" s="10" t="str">
        <f t="shared" si="8"/>
        <v xml:space="preserve"> </v>
      </c>
    </row>
    <row r="73" spans="1:14">
      <c r="A73" s="64">
        <v>202425071</v>
      </c>
      <c r="E73" s="187" t="str">
        <f>IF(ISBLANK(D73),"",VLOOKUP(D73,ADMISSION!B:N,9,0))</f>
        <v/>
      </c>
      <c r="F73" s="187" t="str">
        <f>IF(ISBLANK(D73),"",VLOOKUP(D73,ADMISSION!B:N,10,))</f>
        <v/>
      </c>
      <c r="G73" s="192" t="str">
        <f t="shared" si="6"/>
        <v/>
      </c>
      <c r="H73" s="192" t="str">
        <f>IF(ISBLANK(D73),"",G73-SUMIF($D$1:D72,D73,$I$1:I72))</f>
        <v/>
      </c>
      <c r="J73" s="192" t="str">
        <f t="shared" si="7"/>
        <v/>
      </c>
      <c r="K73" s="195" t="str">
        <f>IF(ISBLANK(D73),"",SUMIF($D$1:D73,D73,$I$1:I73))</f>
        <v/>
      </c>
      <c r="M73" s="199" t="str">
        <f t="shared" si="9"/>
        <v xml:space="preserve"> </v>
      </c>
      <c r="N73" s="10" t="str">
        <f t="shared" si="8"/>
        <v xml:space="preserve"> </v>
      </c>
    </row>
    <row r="74" spans="1:14">
      <c r="A74" s="64">
        <v>202425072</v>
      </c>
      <c r="E74" s="187" t="str">
        <f>IF(ISBLANK(D74),"",VLOOKUP(D74,ADMISSION!B:N,9,0))</f>
        <v/>
      </c>
      <c r="F74" s="187" t="str">
        <f>IF(ISBLANK(D74),"",VLOOKUP(D74,ADMISSION!B:N,10,))</f>
        <v/>
      </c>
      <c r="G74" s="192" t="str">
        <f t="shared" si="6"/>
        <v/>
      </c>
      <c r="H74" s="192" t="str">
        <f>IF(ISBLANK(D74),"",G74-SUMIF($D$1:D73,D74,$I$1:I73))</f>
        <v/>
      </c>
      <c r="J74" s="192" t="str">
        <f t="shared" si="7"/>
        <v/>
      </c>
      <c r="K74" s="195" t="str">
        <f>IF(ISBLANK(D74),"",SUMIF($D$1:D74,D74,$I$1:I74))</f>
        <v/>
      </c>
      <c r="M74" s="199" t="str">
        <f t="shared" si="9"/>
        <v xml:space="preserve"> </v>
      </c>
      <c r="N74" s="10" t="str">
        <f t="shared" si="8"/>
        <v xml:space="preserve"> </v>
      </c>
    </row>
    <row r="75" spans="1:14">
      <c r="A75" s="64">
        <v>202425073</v>
      </c>
      <c r="E75" s="187" t="str">
        <f>IF(ISBLANK(D75),"",VLOOKUP(D75,ADMISSION!B:N,9,0))</f>
        <v/>
      </c>
      <c r="F75" s="187" t="str">
        <f>IF(ISBLANK(D75),"",VLOOKUP(D75,ADMISSION!B:N,10,))</f>
        <v/>
      </c>
      <c r="G75" s="192" t="str">
        <f t="shared" si="6"/>
        <v/>
      </c>
      <c r="H75" s="192" t="str">
        <f>IF(ISBLANK(D75),"",G75-SUMIF($D$1:D74,D75,$I$1:I74))</f>
        <v/>
      </c>
      <c r="J75" s="192" t="str">
        <f t="shared" si="7"/>
        <v/>
      </c>
      <c r="K75" s="195" t="str">
        <f>IF(ISBLANK(D75),"",SUMIF($D$1:D75,D75,$I$1:I75))</f>
        <v/>
      </c>
      <c r="M75" s="199" t="str">
        <f t="shared" si="9"/>
        <v xml:space="preserve"> </v>
      </c>
      <c r="N75" s="10" t="str">
        <f t="shared" si="8"/>
        <v xml:space="preserve"> </v>
      </c>
    </row>
    <row r="76" spans="1:14">
      <c r="A76" s="64">
        <v>202425074</v>
      </c>
      <c r="E76" s="187" t="str">
        <f>IF(ISBLANK(D76),"",VLOOKUP(D76,ADMISSION!B:N,9,0))</f>
        <v/>
      </c>
      <c r="F76" s="187" t="str">
        <f>IF(ISBLANK(D76),"",VLOOKUP(D76,ADMISSION!B:N,10,))</f>
        <v/>
      </c>
      <c r="G76" s="192" t="str">
        <f t="shared" si="6"/>
        <v/>
      </c>
      <c r="H76" s="192" t="str">
        <f>IF(ISBLANK(D76),"",G76-SUMIF($D$1:D75,D76,$I$1:I75))</f>
        <v/>
      </c>
      <c r="J76" s="192" t="str">
        <f t="shared" si="7"/>
        <v/>
      </c>
      <c r="K76" s="195" t="str">
        <f>IF(ISBLANK(D76),"",SUMIF($D$1:D76,D76,$I$1:I76))</f>
        <v/>
      </c>
      <c r="M76" s="199" t="str">
        <f t="shared" si="9"/>
        <v xml:space="preserve"> </v>
      </c>
      <c r="N76" s="10" t="str">
        <f t="shared" si="8"/>
        <v xml:space="preserve"> </v>
      </c>
    </row>
    <row r="77" spans="1:14">
      <c r="A77" s="64">
        <v>202425075</v>
      </c>
      <c r="E77" s="187" t="str">
        <f>IF(ISBLANK(D77),"",VLOOKUP(D77,ADMISSION!B:N,9,0))</f>
        <v/>
      </c>
      <c r="F77" s="187" t="str">
        <f>IF(ISBLANK(D77),"",VLOOKUP(D77,ADMISSION!B:N,10,))</f>
        <v/>
      </c>
      <c r="G77" s="192" t="str">
        <f t="shared" si="6"/>
        <v/>
      </c>
      <c r="H77" s="192" t="str">
        <f>IF(ISBLANK(D77),"",G77-SUMIF($D$1:D76,D77,$I$1:I76))</f>
        <v/>
      </c>
      <c r="J77" s="192" t="str">
        <f t="shared" si="7"/>
        <v/>
      </c>
      <c r="K77" s="195" t="str">
        <f>IF(ISBLANK(D77),"",SUMIF($D$1:D77,D77,$I$1:I77))</f>
        <v/>
      </c>
      <c r="M77" s="199" t="str">
        <f t="shared" si="9"/>
        <v xml:space="preserve"> </v>
      </c>
      <c r="N77" s="10" t="str">
        <f t="shared" si="8"/>
        <v xml:space="preserve"> </v>
      </c>
    </row>
    <row r="78" spans="1:14">
      <c r="A78" s="64">
        <v>202425076</v>
      </c>
      <c r="E78" s="187" t="str">
        <f>IF(ISBLANK(D78),"",VLOOKUP(D78,ADMISSION!B:N,9,0))</f>
        <v/>
      </c>
      <c r="F78" s="187" t="str">
        <f>IF(ISBLANK(D78),"",VLOOKUP(D78,ADMISSION!B:N,10,))</f>
        <v/>
      </c>
      <c r="G78" s="192" t="str">
        <f t="shared" si="6"/>
        <v/>
      </c>
      <c r="H78" s="192" t="str">
        <f>IF(ISBLANK(D78),"",G78-SUMIF($D$1:D77,D78,$I$1:I77))</f>
        <v/>
      </c>
      <c r="J78" s="192" t="str">
        <f t="shared" si="7"/>
        <v/>
      </c>
      <c r="K78" s="195" t="str">
        <f>IF(ISBLANK(D78),"",SUMIF($D$1:D78,D78,$I$1:I78))</f>
        <v/>
      </c>
      <c r="M78" s="199" t="str">
        <f t="shared" si="9"/>
        <v xml:space="preserve"> </v>
      </c>
      <c r="N78" s="10" t="str">
        <f t="shared" si="8"/>
        <v xml:space="preserve"> </v>
      </c>
    </row>
    <row r="79" spans="1:14">
      <c r="A79" s="64">
        <v>202425077</v>
      </c>
      <c r="E79" s="187" t="str">
        <f>IF(ISBLANK(D79),"",VLOOKUP(D79,ADMISSION!B:N,9,0))</f>
        <v/>
      </c>
      <c r="F79" s="187" t="str">
        <f>IF(ISBLANK(D79),"",VLOOKUP(D79,ADMISSION!B:N,10,))</f>
        <v/>
      </c>
      <c r="G79" s="192" t="str">
        <f t="shared" si="6"/>
        <v/>
      </c>
      <c r="H79" s="192" t="str">
        <f>IF(ISBLANK(D79),"",G79-SUMIF($D$1:D78,D79,$I$1:I78))</f>
        <v/>
      </c>
      <c r="J79" s="192" t="str">
        <f t="shared" si="7"/>
        <v/>
      </c>
      <c r="K79" s="195" t="str">
        <f>IF(ISBLANK(D79),"",SUMIF($D$1:D79,D79,$I$1:I79))</f>
        <v/>
      </c>
      <c r="M79" s="199" t="str">
        <f t="shared" si="9"/>
        <v xml:space="preserve"> </v>
      </c>
      <c r="N79" s="10" t="str">
        <f t="shared" si="8"/>
        <v xml:space="preserve"> </v>
      </c>
    </row>
    <row r="80" spans="1:14">
      <c r="A80" s="64">
        <v>202425078</v>
      </c>
      <c r="E80" s="187" t="str">
        <f>IF(ISBLANK(D80),"",VLOOKUP(D80,ADMISSION!B:N,9,0))</f>
        <v/>
      </c>
      <c r="F80" s="187" t="str">
        <f>IF(ISBLANK(D80),"",VLOOKUP(D80,ADMISSION!B:N,10,))</f>
        <v/>
      </c>
      <c r="G80" s="192" t="str">
        <f t="shared" si="6"/>
        <v/>
      </c>
      <c r="H80" s="192" t="str">
        <f>IF(ISBLANK(D80),"",G80-SUMIF($D$1:D79,D80,$I$1:I79))</f>
        <v/>
      </c>
      <c r="J80" s="192" t="str">
        <f t="shared" si="7"/>
        <v/>
      </c>
      <c r="K80" s="195" t="str">
        <f>IF(ISBLANK(D80),"",SUMIF($D$1:D80,D80,$I$1:I80))</f>
        <v/>
      </c>
      <c r="M80" s="199" t="str">
        <f t="shared" si="9"/>
        <v xml:space="preserve"> </v>
      </c>
      <c r="N80" s="10" t="str">
        <f t="shared" si="8"/>
        <v xml:space="preserve"> </v>
      </c>
    </row>
    <row r="81" spans="1:14">
      <c r="A81" s="64">
        <v>202425079</v>
      </c>
      <c r="E81" s="187" t="str">
        <f>IF(ISBLANK(D81),"",VLOOKUP(D81,ADMISSION!B:N,9,0))</f>
        <v/>
      </c>
      <c r="F81" s="187" t="str">
        <f>IF(ISBLANK(D81),"",VLOOKUP(D81,ADMISSION!B:N,10,))</f>
        <v/>
      </c>
      <c r="G81" s="192" t="str">
        <f t="shared" si="6"/>
        <v/>
      </c>
      <c r="H81" s="192" t="str">
        <f>IF(ISBLANK(D81),"",G81-SUMIF($D$1:D80,D81,$I$1:I80))</f>
        <v/>
      </c>
      <c r="J81" s="192" t="str">
        <f t="shared" si="7"/>
        <v/>
      </c>
      <c r="K81" s="195" t="str">
        <f>IF(ISBLANK(D81),"",SUMIF($D$1:D81,D81,$I$1:I81))</f>
        <v/>
      </c>
      <c r="M81" s="199" t="str">
        <f t="shared" si="9"/>
        <v xml:space="preserve"> </v>
      </c>
      <c r="N81" s="10" t="str">
        <f t="shared" si="8"/>
        <v xml:space="preserve"> </v>
      </c>
    </row>
    <row r="82" spans="1:14">
      <c r="A82" s="64">
        <v>202425080</v>
      </c>
      <c r="E82" s="187" t="str">
        <f>IF(ISBLANK(D82),"",VLOOKUP(D82,ADMISSION!B:N,9,0))</f>
        <v/>
      </c>
      <c r="F82" s="187" t="str">
        <f>IF(ISBLANK(D82),"",VLOOKUP(D82,ADMISSION!B:N,10,))</f>
        <v/>
      </c>
      <c r="G82" s="192" t="str">
        <f t="shared" si="6"/>
        <v/>
      </c>
      <c r="H82" s="192" t="str">
        <f>IF(ISBLANK(D82),"",G82-SUMIF($D$1:D81,D82,$I$1:I81))</f>
        <v/>
      </c>
      <c r="J82" s="192" t="str">
        <f t="shared" si="7"/>
        <v/>
      </c>
      <c r="K82" s="195" t="str">
        <f>IF(ISBLANK(D82),"",SUMIF($D$1:D82,D82,$I$1:I82))</f>
        <v/>
      </c>
      <c r="M82" s="199" t="str">
        <f t="shared" si="9"/>
        <v xml:space="preserve"> </v>
      </c>
      <c r="N82" s="10" t="str">
        <f t="shared" si="8"/>
        <v xml:space="preserve"> </v>
      </c>
    </row>
    <row r="83" spans="1:14">
      <c r="A83" s="64">
        <v>202425081</v>
      </c>
      <c r="E83" s="187" t="str">
        <f>IF(ISBLANK(D83),"",VLOOKUP(D83,ADMISSION!B:N,9,0))</f>
        <v/>
      </c>
      <c r="F83" s="187" t="str">
        <f>IF(ISBLANK(D83),"",VLOOKUP(D83,ADMISSION!B:N,10,))</f>
        <v/>
      </c>
      <c r="G83" s="192" t="str">
        <f t="shared" si="6"/>
        <v/>
      </c>
      <c r="H83" s="192" t="str">
        <f>IF(ISBLANK(D83),"",G83-SUMIF($D$1:D82,D83,$I$1:I82))</f>
        <v/>
      </c>
      <c r="J83" s="192" t="str">
        <f t="shared" si="7"/>
        <v/>
      </c>
      <c r="K83" s="195" t="str">
        <f>IF(ISBLANK(D83),"",SUMIF($D$1:D83,D83,$I$1:I83))</f>
        <v/>
      </c>
      <c r="M83" s="199" t="str">
        <f t="shared" si="9"/>
        <v xml:space="preserve"> </v>
      </c>
      <c r="N83" s="10" t="str">
        <f t="shared" si="8"/>
        <v xml:space="preserve"> </v>
      </c>
    </row>
    <row r="84" spans="1:14">
      <c r="A84" s="64">
        <v>202425082</v>
      </c>
      <c r="E84" s="187" t="str">
        <f>IF(ISBLANK(D84),"",VLOOKUP(D84,ADMISSION!B:N,9,0))</f>
        <v/>
      </c>
      <c r="F84" s="187" t="str">
        <f>IF(ISBLANK(D84),"",VLOOKUP(D84,ADMISSION!B:N,10,))</f>
        <v/>
      </c>
      <c r="G84" s="192" t="str">
        <f t="shared" si="6"/>
        <v/>
      </c>
      <c r="H84" s="192" t="str">
        <f>IF(ISBLANK(D84),"",G84-SUMIF($D$1:D83,D84,$I$1:I83))</f>
        <v/>
      </c>
      <c r="J84" s="192" t="str">
        <f t="shared" si="7"/>
        <v/>
      </c>
      <c r="K84" s="195" t="str">
        <f>IF(ISBLANK(D84),"",SUMIF($D$1:D84,D84,$I$1:I84))</f>
        <v/>
      </c>
      <c r="M84" s="199" t="str">
        <f t="shared" si="9"/>
        <v xml:space="preserve"> </v>
      </c>
      <c r="N84" s="10" t="str">
        <f t="shared" si="8"/>
        <v xml:space="preserve"> </v>
      </c>
    </row>
    <row r="85" spans="1:14">
      <c r="A85" s="64">
        <v>202425083</v>
      </c>
      <c r="E85" s="187" t="str">
        <f>IF(ISBLANK(D85),"",VLOOKUP(D85,ADMISSION!B:N,9,0))</f>
        <v/>
      </c>
      <c r="F85" s="187" t="str">
        <f>IF(ISBLANK(D85),"",VLOOKUP(D85,ADMISSION!B:N,10,))</f>
        <v/>
      </c>
      <c r="G85" s="192" t="str">
        <f t="shared" si="6"/>
        <v/>
      </c>
      <c r="H85" s="192" t="str">
        <f>IF(ISBLANK(D85),"",G85-SUMIF($D$1:D84,D85,$I$1:I84))</f>
        <v/>
      </c>
      <c r="J85" s="192" t="str">
        <f t="shared" si="7"/>
        <v/>
      </c>
      <c r="K85" s="195" t="str">
        <f>IF(ISBLANK(D85),"",SUMIF($D$1:D85,D85,$I$1:I85))</f>
        <v/>
      </c>
      <c r="M85" s="199" t="str">
        <f t="shared" si="9"/>
        <v xml:space="preserve"> </v>
      </c>
      <c r="N85" s="10" t="str">
        <f t="shared" si="8"/>
        <v xml:space="preserve"> </v>
      </c>
    </row>
    <row r="86" spans="1:14">
      <c r="A86" s="64">
        <v>202425084</v>
      </c>
      <c r="E86" s="187" t="str">
        <f>IF(ISBLANK(D86),"",VLOOKUP(D86,ADMISSION!B:N,9,0))</f>
        <v/>
      </c>
      <c r="F86" s="187" t="str">
        <f>IF(ISBLANK(D86),"",VLOOKUP(D86,ADMISSION!B:N,10,))</f>
        <v/>
      </c>
      <c r="G86" s="192" t="str">
        <f t="shared" si="6"/>
        <v/>
      </c>
      <c r="H86" s="192" t="str">
        <f>IF(ISBLANK(D86),"",G86-SUMIF($D$1:D85,D86,$I$1:I85))</f>
        <v/>
      </c>
      <c r="J86" s="192" t="str">
        <f t="shared" si="7"/>
        <v/>
      </c>
      <c r="K86" s="195" t="str">
        <f>IF(ISBLANK(D86),"",SUMIF($D$1:D86,D86,$I$1:I86))</f>
        <v/>
      </c>
      <c r="M86" s="199" t="str">
        <f t="shared" si="9"/>
        <v xml:space="preserve"> </v>
      </c>
      <c r="N86" s="10" t="str">
        <f t="shared" si="8"/>
        <v xml:space="preserve"> </v>
      </c>
    </row>
    <row r="87" spans="1:14">
      <c r="A87" s="64">
        <v>202425085</v>
      </c>
      <c r="E87" s="187" t="str">
        <f>IF(ISBLANK(D87),"",VLOOKUP(D87,ADMISSION!B:N,9,0))</f>
        <v/>
      </c>
      <c r="F87" s="187" t="str">
        <f>IF(ISBLANK(D87),"",VLOOKUP(D87,ADMISSION!B:N,10,))</f>
        <v/>
      </c>
      <c r="G87" s="192" t="str">
        <f t="shared" si="6"/>
        <v/>
      </c>
      <c r="H87" s="192" t="str">
        <f>IF(ISBLANK(D87),"",G87-SUMIF($D$1:D86,D87,$I$1:I86))</f>
        <v/>
      </c>
      <c r="J87" s="192" t="str">
        <f t="shared" si="7"/>
        <v/>
      </c>
      <c r="K87" s="195" t="str">
        <f>IF(ISBLANK(D87),"",SUMIF($D$1:D87,D87,$I$1:I87))</f>
        <v/>
      </c>
      <c r="M87" s="199" t="str">
        <f t="shared" si="9"/>
        <v xml:space="preserve"> </v>
      </c>
      <c r="N87" s="10" t="str">
        <f t="shared" si="8"/>
        <v xml:space="preserve"> </v>
      </c>
    </row>
    <row r="88" spans="1:14">
      <c r="A88" s="64">
        <v>202425086</v>
      </c>
      <c r="E88" s="187" t="str">
        <f>IF(ISBLANK(D88),"",VLOOKUP(D88,ADMISSION!B:N,9,0))</f>
        <v/>
      </c>
      <c r="F88" s="187" t="str">
        <f>IF(ISBLANK(D88),"",VLOOKUP(D88,ADMISSION!B:N,10,))</f>
        <v/>
      </c>
      <c r="G88" s="192" t="str">
        <f t="shared" si="6"/>
        <v/>
      </c>
      <c r="H88" s="192" t="str">
        <f>IF(ISBLANK(D88),"",G88-SUMIF($D$1:D87,D88,$I$1:I87))</f>
        <v/>
      </c>
      <c r="J88" s="192" t="str">
        <f t="shared" si="7"/>
        <v/>
      </c>
      <c r="K88" s="195" t="str">
        <f>IF(ISBLANK(D88),"",SUMIF($D$1:D88,D88,$I$1:I88))</f>
        <v/>
      </c>
      <c r="M88" s="199" t="str">
        <f t="shared" si="9"/>
        <v xml:space="preserve"> </v>
      </c>
      <c r="N88" s="10" t="str">
        <f t="shared" si="8"/>
        <v xml:space="preserve"> </v>
      </c>
    </row>
    <row r="89" spans="1:14">
      <c r="A89" s="64">
        <v>202425087</v>
      </c>
      <c r="E89" s="187" t="str">
        <f>IF(ISBLANK(D89),"",VLOOKUP(D89,ADMISSION!B:N,9,0))</f>
        <v/>
      </c>
      <c r="F89" s="187" t="str">
        <f>IF(ISBLANK(D89),"",VLOOKUP(D89,ADMISSION!B:N,10,))</f>
        <v/>
      </c>
      <c r="G89" s="192" t="str">
        <f t="shared" si="6"/>
        <v/>
      </c>
      <c r="H89" s="192" t="str">
        <f>IF(ISBLANK(D89),"",G89-SUMIF($D$1:D88,D89,$I$1:I88))</f>
        <v/>
      </c>
      <c r="J89" s="192" t="str">
        <f t="shared" si="7"/>
        <v/>
      </c>
      <c r="K89" s="195" t="str">
        <f>IF(ISBLANK(D89),"",SUMIF($D$1:D89,D89,$I$1:I89))</f>
        <v/>
      </c>
      <c r="M89" s="199" t="str">
        <f t="shared" si="9"/>
        <v xml:space="preserve"> </v>
      </c>
      <c r="N89" s="10" t="str">
        <f t="shared" si="8"/>
        <v xml:space="preserve"> </v>
      </c>
    </row>
    <row r="90" spans="1:14">
      <c r="A90" s="64">
        <v>202425088</v>
      </c>
      <c r="E90" s="187" t="str">
        <f>IF(ISBLANK(D90),"",VLOOKUP(D90,ADMISSION!B:N,9,0))</f>
        <v/>
      </c>
      <c r="F90" s="187" t="str">
        <f>IF(ISBLANK(D90),"",VLOOKUP(D90,ADMISSION!B:N,10,))</f>
        <v/>
      </c>
      <c r="G90" s="192" t="str">
        <f t="shared" si="6"/>
        <v/>
      </c>
      <c r="H90" s="192" t="str">
        <f>IF(ISBLANK(D90),"",G90-SUMIF($D$1:D89,D90,$I$1:I89))</f>
        <v/>
      </c>
      <c r="J90" s="192" t="str">
        <f t="shared" si="7"/>
        <v/>
      </c>
      <c r="K90" s="195" t="str">
        <f>IF(ISBLANK(D90),"",SUMIF($D$1:D90,D90,$I$1:I90))</f>
        <v/>
      </c>
      <c r="M90" s="199" t="str">
        <f t="shared" si="9"/>
        <v xml:space="preserve"> </v>
      </c>
      <c r="N90" s="10" t="str">
        <f t="shared" si="8"/>
        <v xml:space="preserve"> </v>
      </c>
    </row>
    <row r="91" spans="1:14">
      <c r="A91" s="64">
        <v>202425089</v>
      </c>
      <c r="E91" s="187" t="str">
        <f>IF(ISBLANK(D91),"",VLOOKUP(D91,ADMISSION!B:N,9,0))</f>
        <v/>
      </c>
      <c r="F91" s="187" t="str">
        <f>IF(ISBLANK(D91),"",VLOOKUP(D91,ADMISSION!B:N,10,))</f>
        <v/>
      </c>
      <c r="G91" s="192" t="str">
        <f t="shared" si="6"/>
        <v/>
      </c>
      <c r="H91" s="192" t="str">
        <f>IF(ISBLANK(D91),"",G91-SUMIF($D$1:D90,D91,$I$1:I90))</f>
        <v/>
      </c>
      <c r="J91" s="192" t="str">
        <f t="shared" si="7"/>
        <v/>
      </c>
      <c r="K91" s="195" t="str">
        <f>IF(ISBLANK(D91),"",SUMIF($D$1:D91,D91,$I$1:I91))</f>
        <v/>
      </c>
      <c r="M91" s="199" t="str">
        <f t="shared" si="9"/>
        <v xml:space="preserve"> </v>
      </c>
      <c r="N91" s="10" t="str">
        <f t="shared" si="8"/>
        <v xml:space="preserve"> </v>
      </c>
    </row>
    <row r="92" spans="1:14">
      <c r="A92" s="64">
        <v>202425090</v>
      </c>
      <c r="E92" s="187" t="str">
        <f>IF(ISBLANK(D92),"",VLOOKUP(D92,ADMISSION!B:N,9,0))</f>
        <v/>
      </c>
      <c r="F92" s="187" t="str">
        <f>IF(ISBLANK(D92),"",VLOOKUP(D92,ADMISSION!B:N,10,))</f>
        <v/>
      </c>
      <c r="G92" s="192" t="str">
        <f t="shared" si="6"/>
        <v/>
      </c>
      <c r="H92" s="192" t="str">
        <f>IF(ISBLANK(D92),"",G92-SUMIF($D$1:D91,D92,$I$1:I91))</f>
        <v/>
      </c>
      <c r="J92" s="192" t="str">
        <f t="shared" si="7"/>
        <v/>
      </c>
      <c r="K92" s="195" t="str">
        <f>IF(ISBLANK(D92),"",SUMIF($D$1:D92,D92,$I$1:I92))</f>
        <v/>
      </c>
      <c r="M92" s="199" t="str">
        <f t="shared" si="9"/>
        <v xml:space="preserve"> </v>
      </c>
      <c r="N92" s="10" t="str">
        <f t="shared" si="8"/>
        <v xml:space="preserve"> </v>
      </c>
    </row>
    <row r="93" spans="1:14">
      <c r="A93" s="64">
        <v>202425091</v>
      </c>
      <c r="E93" s="187" t="str">
        <f>IF(ISBLANK(D93),"",VLOOKUP(D93,ADMISSION!B:N,9,0))</f>
        <v/>
      </c>
      <c r="F93" s="187" t="str">
        <f>IF(ISBLANK(D93),"",VLOOKUP(D93,ADMISSION!B:N,10,))</f>
        <v/>
      </c>
      <c r="G93" s="192" t="str">
        <f t="shared" si="6"/>
        <v/>
      </c>
      <c r="H93" s="192" t="str">
        <f>IF(ISBLANK(D93),"",G93-SUMIF($D$1:D92,D93,$I$1:I92))</f>
        <v/>
      </c>
      <c r="J93" s="192" t="str">
        <f t="shared" si="7"/>
        <v/>
      </c>
      <c r="K93" s="195" t="str">
        <f>IF(ISBLANK(D93),"",SUMIF($D$1:D93,D93,$I$1:I93))</f>
        <v/>
      </c>
      <c r="M93" s="199" t="str">
        <f t="shared" si="9"/>
        <v xml:space="preserve"> </v>
      </c>
      <c r="N93" s="10" t="str">
        <f t="shared" si="8"/>
        <v xml:space="preserve"> </v>
      </c>
    </row>
    <row r="94" spans="1:14">
      <c r="A94" s="64">
        <v>202425092</v>
      </c>
      <c r="E94" s="187" t="str">
        <f>IF(ISBLANK(D94),"",VLOOKUP(D94,ADMISSION!B:N,9,0))</f>
        <v/>
      </c>
      <c r="F94" s="187" t="str">
        <f>IF(ISBLANK(D94),"",VLOOKUP(D94,ADMISSION!B:N,10,))</f>
        <v/>
      </c>
      <c r="G94" s="192" t="str">
        <f t="shared" si="6"/>
        <v/>
      </c>
      <c r="H94" s="192" t="str">
        <f>IF(ISBLANK(D94),"",G94-SUMIF($D$1:D93,D94,$I$1:I93))</f>
        <v/>
      </c>
      <c r="J94" s="192" t="str">
        <f t="shared" si="7"/>
        <v/>
      </c>
      <c r="K94" s="195" t="str">
        <f>IF(ISBLANK(D94),"",SUMIF($D$1:D94,D94,$I$1:I94))</f>
        <v/>
      </c>
      <c r="M94" s="199" t="str">
        <f t="shared" si="9"/>
        <v xml:space="preserve"> </v>
      </c>
      <c r="N94" s="10" t="str">
        <f t="shared" si="8"/>
        <v xml:space="preserve"> </v>
      </c>
    </row>
    <row r="95" spans="1:14">
      <c r="A95" s="64">
        <v>202425093</v>
      </c>
      <c r="E95" s="187" t="str">
        <f>IF(ISBLANK(D95),"",VLOOKUP(D95,ADMISSION!B:N,9,0))</f>
        <v/>
      </c>
      <c r="F95" s="187" t="str">
        <f>IF(ISBLANK(D95),"",VLOOKUP(D95,ADMISSION!B:N,10,))</f>
        <v/>
      </c>
      <c r="G95" s="192" t="str">
        <f t="shared" si="6"/>
        <v/>
      </c>
      <c r="H95" s="192" t="str">
        <f>IF(ISBLANK(D95),"",G95-SUMIF($D$1:D94,D95,$I$1:I94))</f>
        <v/>
      </c>
      <c r="J95" s="192" t="str">
        <f t="shared" si="7"/>
        <v/>
      </c>
      <c r="K95" s="195" t="str">
        <f>IF(ISBLANK(D95),"",SUMIF($D$1:D95,D95,$I$1:I95))</f>
        <v/>
      </c>
      <c r="M95" s="199" t="str">
        <f t="shared" si="9"/>
        <v xml:space="preserve"> </v>
      </c>
      <c r="N95" s="10" t="str">
        <f t="shared" si="8"/>
        <v xml:space="preserve"> </v>
      </c>
    </row>
    <row r="96" spans="1:14">
      <c r="A96" s="64">
        <v>202425094</v>
      </c>
      <c r="E96" s="187" t="str">
        <f>IF(ISBLANK(D96),"",VLOOKUP(D96,ADMISSION!B:N,9,0))</f>
        <v/>
      </c>
      <c r="F96" s="187" t="str">
        <f>IF(ISBLANK(D96),"",VLOOKUP(D96,ADMISSION!B:N,10,))</f>
        <v/>
      </c>
      <c r="G96" s="192" t="str">
        <f t="shared" si="6"/>
        <v/>
      </c>
      <c r="H96" s="192" t="str">
        <f>IF(ISBLANK(D96),"",G96-SUMIF($D$1:D95,D96,$I$1:I95))</f>
        <v/>
      </c>
      <c r="J96" s="192" t="str">
        <f t="shared" si="7"/>
        <v/>
      </c>
      <c r="K96" s="195" t="str">
        <f>IF(ISBLANK(D96),"",SUMIF($D$1:D96,D96,$I$1:I96))</f>
        <v/>
      </c>
      <c r="M96" s="199" t="str">
        <f t="shared" si="9"/>
        <v xml:space="preserve"> </v>
      </c>
      <c r="N96" s="10" t="str">
        <f t="shared" si="8"/>
        <v xml:space="preserve"> </v>
      </c>
    </row>
    <row r="97" spans="1:14">
      <c r="A97" s="64">
        <v>202425095</v>
      </c>
      <c r="E97" s="187" t="str">
        <f>IF(ISBLANK(D97),"",VLOOKUP(D97,ADMISSION!B:N,9,0))</f>
        <v/>
      </c>
      <c r="F97" s="187" t="str">
        <f>IF(ISBLANK(D97),"",VLOOKUP(D97,ADMISSION!B:N,10,))</f>
        <v/>
      </c>
      <c r="G97" s="192" t="str">
        <f t="shared" si="6"/>
        <v/>
      </c>
      <c r="H97" s="192" t="str">
        <f>IF(ISBLANK(D97),"",G97-SUMIF($D$1:D96,D97,$I$1:I96))</f>
        <v/>
      </c>
      <c r="J97" s="192" t="str">
        <f t="shared" si="7"/>
        <v/>
      </c>
      <c r="K97" s="195" t="str">
        <f>IF(ISBLANK(D97),"",SUMIF($D$1:D97,D97,$I$1:I97))</f>
        <v/>
      </c>
      <c r="M97" s="199" t="str">
        <f t="shared" si="9"/>
        <v xml:space="preserve"> </v>
      </c>
      <c r="N97" s="10" t="str">
        <f t="shared" si="8"/>
        <v xml:space="preserve"> </v>
      </c>
    </row>
    <row r="98" spans="1:14">
      <c r="A98" s="64">
        <v>202425096</v>
      </c>
      <c r="E98" s="187" t="str">
        <f>IF(ISBLANK(D98),"",VLOOKUP(D98,ADMISSION!B:N,9,0))</f>
        <v/>
      </c>
      <c r="F98" s="187" t="str">
        <f>IF(ISBLANK(D98),"",VLOOKUP(D98,ADMISSION!B:N,10,))</f>
        <v/>
      </c>
      <c r="G98" s="192" t="str">
        <f t="shared" si="6"/>
        <v/>
      </c>
      <c r="H98" s="192" t="str">
        <f>IF(ISBLANK(D98),"",G98-SUMIF($D$1:D97,D98,$I$1:I97))</f>
        <v/>
      </c>
      <c r="J98" s="192" t="str">
        <f t="shared" si="7"/>
        <v/>
      </c>
      <c r="K98" s="195" t="str">
        <f>IF(ISBLANK(D98),"",SUMIF($D$1:D98,D98,$I$1:I98))</f>
        <v/>
      </c>
      <c r="M98" s="199" t="str">
        <f t="shared" si="9"/>
        <v xml:space="preserve"> </v>
      </c>
      <c r="N98" s="10" t="str">
        <f t="shared" si="8"/>
        <v xml:space="preserve"> </v>
      </c>
    </row>
    <row r="99" spans="1:14">
      <c r="A99" s="64">
        <v>202425097</v>
      </c>
      <c r="E99" s="187" t="str">
        <f>IF(ISBLANK(D99),"",VLOOKUP(D99,ADMISSION!B:N,9,0))</f>
        <v/>
      </c>
      <c r="F99" s="187" t="str">
        <f>IF(ISBLANK(D99),"",VLOOKUP(D99,ADMISSION!B:N,10,))</f>
        <v/>
      </c>
      <c r="G99" s="192" t="str">
        <f t="shared" ref="G99:G130" si="10">IF(ISBLANK(D99),"",E99-F99)</f>
        <v/>
      </c>
      <c r="H99" s="192" t="str">
        <f>IF(ISBLANK(D99),"",G99-SUMIF($D$1:D98,D99,$I$1:I98))</f>
        <v/>
      </c>
      <c r="J99" s="192" t="str">
        <f t="shared" ref="J99:J130" si="11">IF(ISBLANK(D99),"",G99-K99)</f>
        <v/>
      </c>
      <c r="K99" s="195" t="str">
        <f>IF(ISBLANK(D99),"",SUMIF($D$1:D99,D99,$I$1:I99))</f>
        <v/>
      </c>
      <c r="M99" s="199" t="str">
        <f t="shared" si="9"/>
        <v xml:space="preserve"> </v>
      </c>
      <c r="N99" s="10" t="str">
        <f t="shared" si="8"/>
        <v xml:space="preserve"> </v>
      </c>
    </row>
    <row r="100" spans="1:14">
      <c r="A100" s="64">
        <v>202425098</v>
      </c>
      <c r="E100" s="187" t="str">
        <f>IF(ISBLANK(D100),"",VLOOKUP(D100,ADMISSION!B:N,9,0))</f>
        <v/>
      </c>
      <c r="F100" s="187" t="str">
        <f>IF(ISBLANK(D100),"",VLOOKUP(D100,ADMISSION!B:N,10,))</f>
        <v/>
      </c>
      <c r="G100" s="192" t="str">
        <f t="shared" si="10"/>
        <v/>
      </c>
      <c r="H100" s="192" t="str">
        <f>IF(ISBLANK(D100),"",G100-SUMIF($D$1:D99,D100,$I$1:I99))</f>
        <v/>
      </c>
      <c r="J100" s="192" t="str">
        <f t="shared" si="11"/>
        <v/>
      </c>
      <c r="K100" s="195" t="str">
        <f>IF(ISBLANK(D100),"",SUMIF($D$1:D100,D100,$I$1:I100))</f>
        <v/>
      </c>
      <c r="M100" s="199" t="str">
        <f t="shared" si="9"/>
        <v xml:space="preserve"> </v>
      </c>
      <c r="N100" s="10" t="str">
        <f t="shared" si="8"/>
        <v xml:space="preserve"> </v>
      </c>
    </row>
    <row r="101" spans="1:14">
      <c r="A101" s="64">
        <v>202425099</v>
      </c>
      <c r="E101" s="187" t="str">
        <f>IF(ISBLANK(D101),"",VLOOKUP(D101,ADMISSION!B:N,9,0))</f>
        <v/>
      </c>
      <c r="F101" s="187" t="str">
        <f>IF(ISBLANK(D101),"",VLOOKUP(D101,ADMISSION!B:N,10,))</f>
        <v/>
      </c>
      <c r="G101" s="192" t="str">
        <f t="shared" si="10"/>
        <v/>
      </c>
      <c r="H101" s="192" t="str">
        <f>IF(ISBLANK(D101),"",G101-SUMIF($D$1:D100,D101,$I$1:I100))</f>
        <v/>
      </c>
      <c r="J101" s="192" t="str">
        <f t="shared" si="11"/>
        <v/>
      </c>
      <c r="K101" s="195" t="str">
        <f>IF(ISBLANK(D101),"",SUMIF($D$1:D101,D101,$I$1:I101))</f>
        <v/>
      </c>
      <c r="M101" s="199" t="str">
        <f t="shared" si="9"/>
        <v xml:space="preserve"> </v>
      </c>
      <c r="N101" s="10" t="str">
        <f t="shared" si="8"/>
        <v xml:space="preserve"> </v>
      </c>
    </row>
    <row r="102" spans="1:14">
      <c r="A102" s="64">
        <v>202425100</v>
      </c>
      <c r="E102" s="187" t="str">
        <f>IF(ISBLANK(D102),"",VLOOKUP(D102,ADMISSION!B:N,9,0))</f>
        <v/>
      </c>
      <c r="F102" s="187" t="str">
        <f>IF(ISBLANK(D102),"",VLOOKUP(D102,ADMISSION!B:N,10,))</f>
        <v/>
      </c>
      <c r="G102" s="192" t="str">
        <f t="shared" si="10"/>
        <v/>
      </c>
      <c r="H102" s="192" t="str">
        <f>IF(ISBLANK(D102),"",G102-SUMIF($D$1:D101,D102,$I$1:I101))</f>
        <v/>
      </c>
      <c r="J102" s="192" t="str">
        <f t="shared" si="11"/>
        <v/>
      </c>
      <c r="K102" s="195" t="str">
        <f>IF(ISBLANK(D102),"",SUMIF($D$1:D102,D102,$I$1:I102))</f>
        <v/>
      </c>
      <c r="M102" s="199" t="str">
        <f t="shared" si="9"/>
        <v xml:space="preserve"> </v>
      </c>
      <c r="N102" s="10" t="str">
        <f t="shared" si="8"/>
        <v xml:space="preserve"> </v>
      </c>
    </row>
    <row r="103" spans="1:14">
      <c r="A103" s="64">
        <v>202425101</v>
      </c>
      <c r="E103" s="187" t="str">
        <f>IF(ISBLANK(D103),"",VLOOKUP(D103,ADMISSION!B:N,9,0))</f>
        <v/>
      </c>
      <c r="F103" s="187" t="str">
        <f>IF(ISBLANK(D103),"",VLOOKUP(D103,ADMISSION!B:N,10,))</f>
        <v/>
      </c>
      <c r="G103" s="192" t="str">
        <f t="shared" si="10"/>
        <v/>
      </c>
      <c r="H103" s="192" t="str">
        <f>IF(ISBLANK(D103),"",G103-SUMIF($D$1:D102,D103,$I$1:I102))</f>
        <v/>
      </c>
      <c r="J103" s="192" t="str">
        <f t="shared" si="11"/>
        <v/>
      </c>
      <c r="K103" s="195" t="str">
        <f>IF(ISBLANK(D103),"",SUMIF($D$1:D103,D103,$I$1:I103))</f>
        <v/>
      </c>
      <c r="M103" s="199" t="str">
        <f t="shared" si="9"/>
        <v xml:space="preserve"> </v>
      </c>
      <c r="N103" s="10" t="str">
        <f t="shared" si="8"/>
        <v xml:space="preserve"> </v>
      </c>
    </row>
    <row r="104" spans="1:14">
      <c r="A104" s="64">
        <v>202425102</v>
      </c>
      <c r="E104" s="187" t="str">
        <f>IF(ISBLANK(D104),"",VLOOKUP(D104,ADMISSION!B:N,9,0))</f>
        <v/>
      </c>
      <c r="F104" s="187" t="str">
        <f>IF(ISBLANK(D104),"",VLOOKUP(D104,ADMISSION!B:N,10,))</f>
        <v/>
      </c>
      <c r="G104" s="192" t="str">
        <f t="shared" si="10"/>
        <v/>
      </c>
      <c r="H104" s="192" t="str">
        <f>IF(ISBLANK(D104),"",G104-SUMIF($D$1:D103,D104,$I$1:I103))</f>
        <v/>
      </c>
      <c r="J104" s="192" t="str">
        <f t="shared" si="11"/>
        <v/>
      </c>
      <c r="K104" s="195" t="str">
        <f>IF(ISBLANK(D104),"",SUMIF($D$1:D104,D104,$I$1:I104))</f>
        <v/>
      </c>
      <c r="M104" s="199" t="str">
        <f t="shared" si="9"/>
        <v xml:space="preserve"> </v>
      </c>
      <c r="N104" s="10" t="str">
        <f t="shared" si="8"/>
        <v xml:space="preserve"> </v>
      </c>
    </row>
    <row r="105" spans="1:14">
      <c r="A105" s="64">
        <v>202425103</v>
      </c>
      <c r="E105" s="187" t="str">
        <f>IF(ISBLANK(D105),"",VLOOKUP(D105,ADMISSION!B:N,9,0))</f>
        <v/>
      </c>
      <c r="F105" s="187" t="str">
        <f>IF(ISBLANK(D105),"",VLOOKUP(D105,ADMISSION!B:N,10,))</f>
        <v/>
      </c>
      <c r="G105" s="192" t="str">
        <f t="shared" si="10"/>
        <v/>
      </c>
      <c r="H105" s="192" t="str">
        <f>IF(ISBLANK(D105),"",G105-SUMIF($D$1:D104,D105,$I$1:I104))</f>
        <v/>
      </c>
      <c r="J105" s="192" t="str">
        <f t="shared" si="11"/>
        <v/>
      </c>
      <c r="K105" s="195" t="str">
        <f>IF(ISBLANK(D105),"",SUMIF($D$1:D105,D105,$I$1:I105))</f>
        <v/>
      </c>
      <c r="M105" s="199" t="str">
        <f t="shared" si="9"/>
        <v xml:space="preserve"> </v>
      </c>
      <c r="N105" s="10" t="str">
        <f t="shared" si="8"/>
        <v xml:space="preserve"> </v>
      </c>
    </row>
    <row r="106" spans="1:14">
      <c r="A106" s="64">
        <v>202425104</v>
      </c>
      <c r="E106" s="187" t="str">
        <f>IF(ISBLANK(D106),"",VLOOKUP(D106,ADMISSION!B:N,9,0))</f>
        <v/>
      </c>
      <c r="F106" s="187" t="str">
        <f>IF(ISBLANK(D106),"",VLOOKUP(D106,ADMISSION!B:N,10,))</f>
        <v/>
      </c>
      <c r="G106" s="192" t="str">
        <f t="shared" si="10"/>
        <v/>
      </c>
      <c r="H106" s="192" t="str">
        <f>IF(ISBLANK(D106),"",G106-SUMIF($D$1:D105,D106,$I$1:I105))</f>
        <v/>
      </c>
      <c r="J106" s="192" t="str">
        <f t="shared" si="11"/>
        <v/>
      </c>
      <c r="K106" s="195" t="str">
        <f>IF(ISBLANK(D106),"",SUMIF($D$1:D106,D106,$I$1:I106))</f>
        <v/>
      </c>
      <c r="M106" s="199" t="str">
        <f t="shared" si="9"/>
        <v xml:space="preserve"> </v>
      </c>
      <c r="N106" s="10" t="str">
        <f t="shared" si="8"/>
        <v xml:space="preserve"> </v>
      </c>
    </row>
    <row r="107" spans="1:14">
      <c r="A107" s="64">
        <v>202425105</v>
      </c>
      <c r="E107" s="187" t="str">
        <f>IF(ISBLANK(D107),"",VLOOKUP(D107,ADMISSION!B:N,9,0))</f>
        <v/>
      </c>
      <c r="F107" s="187" t="str">
        <f>IF(ISBLANK(D107),"",VLOOKUP(D107,ADMISSION!B:N,10,))</f>
        <v/>
      </c>
      <c r="G107" s="192" t="str">
        <f t="shared" si="10"/>
        <v/>
      </c>
      <c r="H107" s="192" t="str">
        <f>IF(ISBLANK(D107),"",G107-SUMIF($D$1:D106,D107,$I$1:I106))</f>
        <v/>
      </c>
      <c r="J107" s="192" t="str">
        <f t="shared" si="11"/>
        <v/>
      </c>
      <c r="K107" s="195" t="str">
        <f>IF(ISBLANK(D107),"",SUMIF($D$1:D107,D107,$I$1:I107))</f>
        <v/>
      </c>
      <c r="M107" s="199" t="str">
        <f t="shared" si="9"/>
        <v xml:space="preserve"> </v>
      </c>
      <c r="N107" s="10" t="str">
        <f t="shared" si="8"/>
        <v xml:space="preserve"> </v>
      </c>
    </row>
    <row r="108" spans="1:14">
      <c r="A108" s="64">
        <v>202425106</v>
      </c>
      <c r="E108" s="187" t="str">
        <f>IF(ISBLANK(D108),"",VLOOKUP(D108,ADMISSION!B:N,9,0))</f>
        <v/>
      </c>
      <c r="F108" s="187" t="str">
        <f>IF(ISBLANK(D108),"",VLOOKUP(D108,ADMISSION!B:N,10,))</f>
        <v/>
      </c>
      <c r="G108" s="192" t="str">
        <f t="shared" si="10"/>
        <v/>
      </c>
      <c r="H108" s="192" t="str">
        <f>IF(ISBLANK(D108),"",G108-SUMIF($D$1:D107,D108,$I$1:I107))</f>
        <v/>
      </c>
      <c r="J108" s="192" t="str">
        <f t="shared" si="11"/>
        <v/>
      </c>
      <c r="K108" s="195" t="str">
        <f>IF(ISBLANK(D108),"",SUMIF($D$1:D108,D108,$I$1:I108))</f>
        <v/>
      </c>
      <c r="M108" s="199" t="str">
        <f t="shared" si="9"/>
        <v xml:space="preserve"> </v>
      </c>
      <c r="N108" s="10" t="str">
        <f t="shared" si="8"/>
        <v xml:space="preserve"> </v>
      </c>
    </row>
    <row r="109" spans="1:14">
      <c r="A109" s="64">
        <v>202425107</v>
      </c>
      <c r="E109" s="187" t="str">
        <f>IF(ISBLANK(D109),"",VLOOKUP(D109,ADMISSION!B:N,9,0))</f>
        <v/>
      </c>
      <c r="F109" s="187" t="str">
        <f>IF(ISBLANK(D109),"",VLOOKUP(D109,ADMISSION!B:N,10,))</f>
        <v/>
      </c>
      <c r="G109" s="192" t="str">
        <f t="shared" si="10"/>
        <v/>
      </c>
      <c r="H109" s="192" t="str">
        <f>IF(ISBLANK(D109),"",G109-SUMIF($D$1:D108,D109,$I$1:I108))</f>
        <v/>
      </c>
      <c r="J109" s="192" t="str">
        <f t="shared" si="11"/>
        <v/>
      </c>
      <c r="K109" s="195" t="str">
        <f>IF(ISBLANK(D109),"",SUMIF($D$1:D109,D109,$I$1:I109))</f>
        <v/>
      </c>
      <c r="M109" s="199" t="str">
        <f t="shared" si="9"/>
        <v xml:space="preserve"> </v>
      </c>
      <c r="N109" s="10" t="str">
        <f t="shared" si="8"/>
        <v xml:space="preserve"> </v>
      </c>
    </row>
    <row r="110" spans="1:14">
      <c r="A110" s="64">
        <v>202425108</v>
      </c>
      <c r="E110" s="187" t="str">
        <f>IF(ISBLANK(D110),"",VLOOKUP(D110,ADMISSION!B:N,9,0))</f>
        <v/>
      </c>
      <c r="F110" s="187" t="str">
        <f>IF(ISBLANK(D110),"",VLOOKUP(D110,ADMISSION!B:N,10,))</f>
        <v/>
      </c>
      <c r="G110" s="192" t="str">
        <f t="shared" si="10"/>
        <v/>
      </c>
      <c r="H110" s="192" t="str">
        <f>IF(ISBLANK(D110),"",G110-SUMIF($D$1:D109,D110,$I$1:I109))</f>
        <v/>
      </c>
      <c r="J110" s="192" t="str">
        <f t="shared" si="11"/>
        <v/>
      </c>
      <c r="K110" s="195" t="str">
        <f>IF(ISBLANK(D110),"",SUMIF($D$1:D110,D110,$I$1:I110))</f>
        <v/>
      </c>
      <c r="M110" s="199" t="str">
        <f t="shared" si="9"/>
        <v xml:space="preserve"> </v>
      </c>
      <c r="N110" s="10" t="str">
        <f t="shared" si="8"/>
        <v xml:space="preserve"> </v>
      </c>
    </row>
    <row r="111" spans="1:14">
      <c r="A111" s="64">
        <v>202425109</v>
      </c>
      <c r="E111" s="187" t="str">
        <f>IF(ISBLANK(D111),"",VLOOKUP(D111,ADMISSION!B:N,9,0))</f>
        <v/>
      </c>
      <c r="F111" s="187" t="str">
        <f>IF(ISBLANK(D111),"",VLOOKUP(D111,ADMISSION!B:N,10,))</f>
        <v/>
      </c>
      <c r="G111" s="192" t="str">
        <f t="shared" si="10"/>
        <v/>
      </c>
      <c r="H111" s="192" t="str">
        <f>IF(ISBLANK(D111),"",G111-SUMIF($D$1:D110,D111,$I$1:I110))</f>
        <v/>
      </c>
      <c r="J111" s="192" t="str">
        <f t="shared" si="11"/>
        <v/>
      </c>
      <c r="K111" s="195" t="str">
        <f>IF(ISBLANK(D111),"",SUMIF($D$1:D111,D111,$I$1:I111))</f>
        <v/>
      </c>
      <c r="M111" s="199" t="str">
        <f t="shared" si="9"/>
        <v xml:space="preserve"> </v>
      </c>
      <c r="N111" s="10" t="str">
        <f t="shared" si="8"/>
        <v xml:space="preserve"> </v>
      </c>
    </row>
    <row r="112" spans="1:14">
      <c r="A112" s="64">
        <v>202425110</v>
      </c>
      <c r="E112" s="187" t="str">
        <f>IF(ISBLANK(D112),"",VLOOKUP(D112,ADMISSION!B:N,9,0))</f>
        <v/>
      </c>
      <c r="F112" s="187" t="str">
        <f>IF(ISBLANK(D112),"",VLOOKUP(D112,ADMISSION!B:N,10,))</f>
        <v/>
      </c>
      <c r="G112" s="192" t="str">
        <f t="shared" si="10"/>
        <v/>
      </c>
      <c r="H112" s="192" t="str">
        <f>IF(ISBLANK(D112),"",G112-SUMIF($D$1:D111,D112,$I$1:I111))</f>
        <v/>
      </c>
      <c r="J112" s="192" t="str">
        <f t="shared" si="11"/>
        <v/>
      </c>
      <c r="K112" s="195" t="str">
        <f>IF(ISBLANK(D112),"",SUMIF($D$1:D112,D112,$I$1:I112))</f>
        <v/>
      </c>
      <c r="M112" s="199" t="str">
        <f t="shared" si="9"/>
        <v xml:space="preserve"> </v>
      </c>
      <c r="N112" s="10" t="str">
        <f t="shared" si="8"/>
        <v xml:space="preserve"> </v>
      </c>
    </row>
    <row r="113" spans="1:14">
      <c r="A113" s="64">
        <v>202425111</v>
      </c>
      <c r="E113" s="187" t="str">
        <f>IF(ISBLANK(D113),"",VLOOKUP(D113,ADMISSION!B:N,9,0))</f>
        <v/>
      </c>
      <c r="F113" s="187" t="str">
        <f>IF(ISBLANK(D113),"",VLOOKUP(D113,ADMISSION!B:N,10,))</f>
        <v/>
      </c>
      <c r="G113" s="192" t="str">
        <f t="shared" si="10"/>
        <v/>
      </c>
      <c r="H113" s="192" t="str">
        <f>IF(ISBLANK(D113),"",G113-SUMIF($D$1:D112,D113,$I$1:I112))</f>
        <v/>
      </c>
      <c r="J113" s="192" t="str">
        <f t="shared" si="11"/>
        <v/>
      </c>
      <c r="K113" s="195" t="str">
        <f>IF(ISBLANK(D113),"",SUMIF($D$1:D113,D113,$I$1:I113))</f>
        <v/>
      </c>
      <c r="M113" s="199" t="str">
        <f t="shared" si="9"/>
        <v xml:space="preserve"> </v>
      </c>
      <c r="N113" s="10" t="str">
        <f t="shared" si="8"/>
        <v xml:space="preserve"> </v>
      </c>
    </row>
    <row r="114" spans="1:14">
      <c r="A114" s="64">
        <v>202425112</v>
      </c>
      <c r="E114" s="187" t="str">
        <f>IF(ISBLANK(D114),"",VLOOKUP(D114,ADMISSION!B:N,9,0))</f>
        <v/>
      </c>
      <c r="F114" s="187" t="str">
        <f>IF(ISBLANK(D114),"",VLOOKUP(D114,ADMISSION!B:N,10,))</f>
        <v/>
      </c>
      <c r="G114" s="192" t="str">
        <f t="shared" si="10"/>
        <v/>
      </c>
      <c r="H114" s="192" t="str">
        <f>IF(ISBLANK(D114),"",G114-SUMIF($D$1:D113,D114,$I$1:I113))</f>
        <v/>
      </c>
      <c r="J114" s="192" t="str">
        <f t="shared" si="11"/>
        <v/>
      </c>
      <c r="K114" s="195" t="str">
        <f>IF(ISBLANK(D114),"",SUMIF($D$1:D114,D114,$I$1:I114))</f>
        <v/>
      </c>
      <c r="M114" s="199" t="str">
        <f t="shared" si="9"/>
        <v xml:space="preserve"> </v>
      </c>
      <c r="N114" s="10" t="str">
        <f t="shared" si="8"/>
        <v xml:space="preserve"> </v>
      </c>
    </row>
    <row r="115" spans="1:14">
      <c r="A115" s="64">
        <v>202425113</v>
      </c>
      <c r="E115" s="187" t="str">
        <f>IF(ISBLANK(D115),"",VLOOKUP(D115,ADMISSION!B:N,9,0))</f>
        <v/>
      </c>
      <c r="F115" s="187" t="str">
        <f>IF(ISBLANK(D115),"",VLOOKUP(D115,ADMISSION!B:N,10,))</f>
        <v/>
      </c>
      <c r="G115" s="192" t="str">
        <f t="shared" si="10"/>
        <v/>
      </c>
      <c r="H115" s="192" t="str">
        <f>IF(ISBLANK(D115),"",G115-SUMIF($D$1:D114,D115,$I$1:I114))</f>
        <v/>
      </c>
      <c r="J115" s="192" t="str">
        <f t="shared" si="11"/>
        <v/>
      </c>
      <c r="K115" s="195" t="str">
        <f>IF(ISBLANK(D115),"",SUMIF($D$1:D115,D115,$I$1:I115))</f>
        <v/>
      </c>
      <c r="M115" s="199" t="str">
        <f t="shared" si="9"/>
        <v xml:space="preserve"> </v>
      </c>
      <c r="N115" s="10" t="str">
        <f t="shared" si="8"/>
        <v xml:space="preserve"> </v>
      </c>
    </row>
    <row r="116" spans="1:14">
      <c r="A116" s="64">
        <v>202425114</v>
      </c>
      <c r="E116" s="187" t="str">
        <f>IF(ISBLANK(D116),"",VLOOKUP(D116,ADMISSION!B:N,9,0))</f>
        <v/>
      </c>
      <c r="F116" s="187" t="str">
        <f>IF(ISBLANK(D116),"",VLOOKUP(D116,ADMISSION!B:N,10,))</f>
        <v/>
      </c>
      <c r="G116" s="192" t="str">
        <f t="shared" si="10"/>
        <v/>
      </c>
      <c r="H116" s="192" t="str">
        <f>IF(ISBLANK(D116),"",G116-SUMIF($D$1:D115,D116,$I$1:I115))</f>
        <v/>
      </c>
      <c r="J116" s="192" t="str">
        <f t="shared" si="11"/>
        <v/>
      </c>
      <c r="K116" s="195" t="str">
        <f>IF(ISBLANK(D116),"",SUMIF($D$1:D116,D116,$I$1:I116))</f>
        <v/>
      </c>
      <c r="M116" s="199" t="str">
        <f t="shared" si="9"/>
        <v xml:space="preserve"> </v>
      </c>
      <c r="N116" s="10" t="str">
        <f t="shared" si="8"/>
        <v xml:space="preserve"> </v>
      </c>
    </row>
    <row r="117" spans="1:14">
      <c r="A117" s="64">
        <v>202425115</v>
      </c>
      <c r="E117" s="187" t="str">
        <f>IF(ISBLANK(D117),"",VLOOKUP(D117,ADMISSION!B:N,9,0))</f>
        <v/>
      </c>
      <c r="F117" s="187" t="str">
        <f>IF(ISBLANK(D117),"",VLOOKUP(D117,ADMISSION!B:N,10,))</f>
        <v/>
      </c>
      <c r="G117" s="192" t="str">
        <f t="shared" si="10"/>
        <v/>
      </c>
      <c r="H117" s="192" t="str">
        <f>IF(ISBLANK(D117),"",G117-SUMIF($D$1:D116,D117,$I$1:I116))</f>
        <v/>
      </c>
      <c r="J117" s="192" t="str">
        <f t="shared" si="11"/>
        <v/>
      </c>
      <c r="K117" s="195" t="str">
        <f>IF(ISBLANK(D117),"",SUMIF($D$1:D117,D117,$I$1:I117))</f>
        <v/>
      </c>
      <c r="M117" s="199" t="str">
        <f t="shared" si="9"/>
        <v xml:space="preserve"> </v>
      </c>
      <c r="N117" s="10" t="str">
        <f t="shared" si="8"/>
        <v xml:space="preserve"> </v>
      </c>
    </row>
    <row r="118" spans="1:14">
      <c r="A118" s="64">
        <v>202425116</v>
      </c>
      <c r="E118" s="187" t="str">
        <f>IF(ISBLANK(D118),"",VLOOKUP(D118,ADMISSION!B:N,9,0))</f>
        <v/>
      </c>
      <c r="F118" s="187" t="str">
        <f>IF(ISBLANK(D118),"",VLOOKUP(D118,ADMISSION!B:N,10,))</f>
        <v/>
      </c>
      <c r="G118" s="192" t="str">
        <f t="shared" si="10"/>
        <v/>
      </c>
      <c r="H118" s="192" t="str">
        <f>IF(ISBLANK(D118),"",G118-SUMIF($D$1:D117,D118,$I$1:I117))</f>
        <v/>
      </c>
      <c r="J118" s="192" t="str">
        <f t="shared" si="11"/>
        <v/>
      </c>
      <c r="K118" s="195" t="str">
        <f>IF(ISBLANK(D118),"",SUMIF($D$1:D118,D118,$I$1:I118))</f>
        <v/>
      </c>
      <c r="M118" s="199" t="str">
        <f t="shared" si="9"/>
        <v xml:space="preserve"> </v>
      </c>
      <c r="N118" s="10" t="str">
        <f t="shared" si="8"/>
        <v xml:space="preserve"> </v>
      </c>
    </row>
    <row r="119" spans="1:14">
      <c r="A119" s="64">
        <v>202425117</v>
      </c>
      <c r="E119" s="187" t="str">
        <f>IF(ISBLANK(D119),"",VLOOKUP(D119,ADMISSION!B:N,9,0))</f>
        <v/>
      </c>
      <c r="F119" s="187" t="str">
        <f>IF(ISBLANK(D119),"",VLOOKUP(D119,ADMISSION!B:N,10,))</f>
        <v/>
      </c>
      <c r="G119" s="192" t="str">
        <f t="shared" si="10"/>
        <v/>
      </c>
      <c r="H119" s="192" t="str">
        <f>IF(ISBLANK(D119),"",G119-SUMIF($D$1:D118,D119,$I$1:I118))</f>
        <v/>
      </c>
      <c r="J119" s="192" t="str">
        <f t="shared" si="11"/>
        <v/>
      </c>
      <c r="K119" s="195" t="str">
        <f>IF(ISBLANK(D119),"",SUMIF($D$1:D119,D119,$I$1:I119))</f>
        <v/>
      </c>
      <c r="M119" s="199" t="str">
        <f t="shared" si="9"/>
        <v xml:space="preserve"> </v>
      </c>
      <c r="N119" s="10" t="str">
        <f t="shared" si="8"/>
        <v xml:space="preserve"> </v>
      </c>
    </row>
    <row r="120" spans="1:14">
      <c r="A120" s="64">
        <v>202425118</v>
      </c>
      <c r="E120" s="187" t="str">
        <f>IF(ISBLANK(D120),"",VLOOKUP(D120,ADMISSION!B:N,9,0))</f>
        <v/>
      </c>
      <c r="F120" s="187" t="str">
        <f>IF(ISBLANK(D120),"",VLOOKUP(D120,ADMISSION!B:N,10,))</f>
        <v/>
      </c>
      <c r="G120" s="192" t="str">
        <f t="shared" si="10"/>
        <v/>
      </c>
      <c r="H120" s="192" t="str">
        <f>IF(ISBLANK(D120),"",G120-SUMIF($D$1:D119,D120,$I$1:I119))</f>
        <v/>
      </c>
      <c r="J120" s="192" t="str">
        <f t="shared" si="11"/>
        <v/>
      </c>
      <c r="K120" s="195" t="str">
        <f>IF(ISBLANK(D120),"",SUMIF($D$1:D120,D120,$I$1:I120))</f>
        <v/>
      </c>
      <c r="M120" s="199" t="str">
        <f t="shared" si="9"/>
        <v xml:space="preserve"> </v>
      </c>
      <c r="N120" s="10" t="str">
        <f t="shared" si="8"/>
        <v xml:space="preserve"> </v>
      </c>
    </row>
    <row r="121" spans="1:14">
      <c r="A121" s="64">
        <v>202425119</v>
      </c>
      <c r="E121" s="187" t="str">
        <f>IF(ISBLANK(D121),"",VLOOKUP(D121,ADMISSION!B:N,9,0))</f>
        <v/>
      </c>
      <c r="F121" s="187" t="str">
        <f>IF(ISBLANK(D121),"",VLOOKUP(D121,ADMISSION!B:N,10,))</f>
        <v/>
      </c>
      <c r="G121" s="192" t="str">
        <f t="shared" si="10"/>
        <v/>
      </c>
      <c r="H121" s="192" t="str">
        <f>IF(ISBLANK(D121),"",G121-SUMIF($D$1:D120,D121,$I$1:I120))</f>
        <v/>
      </c>
      <c r="J121" s="192" t="str">
        <f t="shared" si="11"/>
        <v/>
      </c>
      <c r="K121" s="195" t="str">
        <f>IF(ISBLANK(D121),"",SUMIF($D$1:D121,D121,$I$1:I121))</f>
        <v/>
      </c>
      <c r="M121" s="199" t="str">
        <f t="shared" si="9"/>
        <v xml:space="preserve"> </v>
      </c>
      <c r="N121" s="10" t="str">
        <f t="shared" si="8"/>
        <v xml:space="preserve"> </v>
      </c>
    </row>
    <row r="122" spans="1:14">
      <c r="A122" s="64">
        <v>202425120</v>
      </c>
      <c r="E122" s="187" t="str">
        <f>IF(ISBLANK(D122),"",VLOOKUP(D122,ADMISSION!B:N,9,0))</f>
        <v/>
      </c>
      <c r="F122" s="187" t="str">
        <f>IF(ISBLANK(D122),"",VLOOKUP(D122,ADMISSION!B:N,10,))</f>
        <v/>
      </c>
      <c r="G122" s="192" t="str">
        <f t="shared" si="10"/>
        <v/>
      </c>
      <c r="H122" s="192" t="str">
        <f>IF(ISBLANK(D122),"",G122-SUMIF($D$1:D121,D122,$I$1:I121))</f>
        <v/>
      </c>
      <c r="J122" s="192" t="str">
        <f t="shared" si="11"/>
        <v/>
      </c>
      <c r="K122" s="195" t="str">
        <f>IF(ISBLANK(D122),"",SUMIF($D$1:D122,D122,$I$1:I122))</f>
        <v/>
      </c>
      <c r="M122" s="199" t="str">
        <f t="shared" si="9"/>
        <v xml:space="preserve"> </v>
      </c>
      <c r="N122" s="10" t="str">
        <f t="shared" si="8"/>
        <v xml:space="preserve"> </v>
      </c>
    </row>
    <row r="123" spans="1:14">
      <c r="A123" s="64">
        <v>202425121</v>
      </c>
      <c r="E123" s="187" t="str">
        <f>IF(ISBLANK(D123),"",VLOOKUP(D123,ADMISSION!B:N,9,0))</f>
        <v/>
      </c>
      <c r="F123" s="187" t="str">
        <f>IF(ISBLANK(D123),"",VLOOKUP(D123,ADMISSION!B:N,10,))</f>
        <v/>
      </c>
      <c r="G123" s="192" t="str">
        <f t="shared" si="10"/>
        <v/>
      </c>
      <c r="H123" s="192" t="str">
        <f>IF(ISBLANK(D123),"",G123-SUMIF($D$1:D122,D123,$I$1:I122))</f>
        <v/>
      </c>
      <c r="J123" s="192" t="str">
        <f t="shared" si="11"/>
        <v/>
      </c>
      <c r="K123" s="195" t="str">
        <f>IF(ISBLANK(D123),"",SUMIF($D$1:D123,D123,$I$1:I123))</f>
        <v/>
      </c>
      <c r="M123" s="199" t="str">
        <f t="shared" si="9"/>
        <v xml:space="preserve"> </v>
      </c>
      <c r="N123" s="10" t="str">
        <f t="shared" si="8"/>
        <v xml:space="preserve"> </v>
      </c>
    </row>
    <row r="124" spans="1:14">
      <c r="A124" s="64">
        <v>202425122</v>
      </c>
      <c r="E124" s="187" t="str">
        <f>IF(ISBLANK(D124),"",VLOOKUP(D124,ADMISSION!B:N,9,0))</f>
        <v/>
      </c>
      <c r="F124" s="187" t="str">
        <f>IF(ISBLANK(D124),"",VLOOKUP(D124,ADMISSION!B:N,10,))</f>
        <v/>
      </c>
      <c r="G124" s="192" t="str">
        <f t="shared" si="10"/>
        <v/>
      </c>
      <c r="H124" s="192" t="str">
        <f>IF(ISBLANK(D124),"",G124-SUMIF($D$1:D123,D124,$I$1:I123))</f>
        <v/>
      </c>
      <c r="J124" s="192" t="str">
        <f t="shared" si="11"/>
        <v/>
      </c>
      <c r="K124" s="195" t="str">
        <f>IF(ISBLANK(D124),"",SUMIF($D$1:D124,D124,$I$1:I124))</f>
        <v/>
      </c>
      <c r="M124" s="199" t="str">
        <f t="shared" si="9"/>
        <v xml:space="preserve"> </v>
      </c>
      <c r="N124" s="10" t="str">
        <f t="shared" si="8"/>
        <v xml:space="preserve"> </v>
      </c>
    </row>
    <row r="125" spans="1:14">
      <c r="A125" s="64">
        <v>202425123</v>
      </c>
      <c r="E125" s="187" t="str">
        <f>IF(ISBLANK(D125),"",VLOOKUP(D125,ADMISSION!B:N,9,0))</f>
        <v/>
      </c>
      <c r="F125" s="187" t="str">
        <f>IF(ISBLANK(D125),"",VLOOKUP(D125,ADMISSION!B:N,10,))</f>
        <v/>
      </c>
      <c r="G125" s="192" t="str">
        <f t="shared" si="10"/>
        <v/>
      </c>
      <c r="H125" s="192" t="str">
        <f>IF(ISBLANK(D125),"",G125-SUMIF($D$1:D124,D125,$I$1:I124))</f>
        <v/>
      </c>
      <c r="J125" s="192" t="str">
        <f t="shared" si="11"/>
        <v/>
      </c>
      <c r="K125" s="195" t="str">
        <f>IF(ISBLANK(D125),"",SUMIF($D$1:D125,D125,$I$1:I125))</f>
        <v/>
      </c>
      <c r="M125" s="199" t="str">
        <f t="shared" si="9"/>
        <v xml:space="preserve"> </v>
      </c>
      <c r="N125" s="10" t="str">
        <f t="shared" si="8"/>
        <v xml:space="preserve"> </v>
      </c>
    </row>
    <row r="126" spans="1:14">
      <c r="A126" s="64">
        <v>202425124</v>
      </c>
      <c r="E126" s="187" t="str">
        <f>IF(ISBLANK(D126),"",VLOOKUP(D126,ADMISSION!B:N,9,0))</f>
        <v/>
      </c>
      <c r="F126" s="187" t="str">
        <f>IF(ISBLANK(D126),"",VLOOKUP(D126,ADMISSION!B:N,10,))</f>
        <v/>
      </c>
      <c r="G126" s="192" t="str">
        <f t="shared" si="10"/>
        <v/>
      </c>
      <c r="H126" s="192" t="str">
        <f>IF(ISBLANK(D126),"",G126-SUMIF($D$1:D125,D126,$I$1:I125))</f>
        <v/>
      </c>
      <c r="J126" s="192" t="str">
        <f t="shared" si="11"/>
        <v/>
      </c>
      <c r="K126" s="195" t="str">
        <f>IF(ISBLANK(D126),"",SUMIF($D$1:D126,D126,$I$1:I126))</f>
        <v/>
      </c>
      <c r="M126" s="199" t="str">
        <f t="shared" si="9"/>
        <v xml:space="preserve"> </v>
      </c>
      <c r="N126" s="10" t="str">
        <f t="shared" si="8"/>
        <v xml:space="preserve"> </v>
      </c>
    </row>
    <row r="127" spans="1:14">
      <c r="A127" s="64">
        <v>202425125</v>
      </c>
      <c r="E127" s="187" t="str">
        <f>IF(ISBLANK(D127),"",VLOOKUP(D127,ADMISSION!B:N,9,0))</f>
        <v/>
      </c>
      <c r="F127" s="187" t="str">
        <f>IF(ISBLANK(D127),"",VLOOKUP(D127,ADMISSION!B:N,10,))</f>
        <v/>
      </c>
      <c r="G127" s="192" t="str">
        <f t="shared" si="10"/>
        <v/>
      </c>
      <c r="H127" s="192" t="str">
        <f>IF(ISBLANK(D127),"",G127-SUMIF($D$1:D126,D127,$I$1:I126))</f>
        <v/>
      </c>
      <c r="J127" s="192" t="str">
        <f t="shared" si="11"/>
        <v/>
      </c>
      <c r="K127" s="195" t="str">
        <f>IF(ISBLANK(D127),"",SUMIF($D$1:D127,D127,$I$1:I127))</f>
        <v/>
      </c>
      <c r="M127" s="199" t="str">
        <f t="shared" si="9"/>
        <v xml:space="preserve"> </v>
      </c>
      <c r="N127" s="10" t="str">
        <f t="shared" si="8"/>
        <v xml:space="preserve"> </v>
      </c>
    </row>
    <row r="128" spans="1:14">
      <c r="A128" s="64">
        <v>202425126</v>
      </c>
      <c r="E128" s="187" t="str">
        <f>IF(ISBLANK(D128),"",VLOOKUP(D128,ADMISSION!B:N,9,0))</f>
        <v/>
      </c>
      <c r="F128" s="187" t="str">
        <f>IF(ISBLANK(D128),"",VLOOKUP(D128,ADMISSION!B:N,10,))</f>
        <v/>
      </c>
      <c r="G128" s="192" t="str">
        <f t="shared" si="10"/>
        <v/>
      </c>
      <c r="H128" s="192" t="str">
        <f>IF(ISBLANK(D128),"",G128-SUMIF($D$1:D127,D128,$I$1:I127))</f>
        <v/>
      </c>
      <c r="J128" s="192" t="str">
        <f t="shared" si="11"/>
        <v/>
      </c>
      <c r="K128" s="195" t="str">
        <f>IF(ISBLANK(D128),"",SUMIF($D$1:D128,D128,$I$1:I128))</f>
        <v/>
      </c>
      <c r="M128" s="199" t="str">
        <f t="shared" si="9"/>
        <v xml:space="preserve"> </v>
      </c>
      <c r="N128" s="10" t="str">
        <f t="shared" si="8"/>
        <v xml:space="preserve"> </v>
      </c>
    </row>
    <row r="129" spans="1:14">
      <c r="A129" s="64">
        <v>202425127</v>
      </c>
      <c r="E129" s="187" t="str">
        <f>IF(ISBLANK(D129),"",VLOOKUP(D129,ADMISSION!B:N,9,0))</f>
        <v/>
      </c>
      <c r="F129" s="187" t="str">
        <f>IF(ISBLANK(D129),"",VLOOKUP(D129,ADMISSION!B:N,10,))</f>
        <v/>
      </c>
      <c r="G129" s="192" t="str">
        <f t="shared" si="10"/>
        <v/>
      </c>
      <c r="H129" s="192" t="str">
        <f>IF(ISBLANK(D129),"",G129-SUMIF($D$1:D128,D129,$I$1:I128))</f>
        <v/>
      </c>
      <c r="J129" s="192" t="str">
        <f t="shared" si="11"/>
        <v/>
      </c>
      <c r="K129" s="195" t="str">
        <f>IF(ISBLANK(D129),"",SUMIF($D$1:D129,D129,$I$1:I129))</f>
        <v/>
      </c>
      <c r="M129" s="199" t="str">
        <f t="shared" si="9"/>
        <v xml:space="preserve"> </v>
      </c>
      <c r="N129" s="10" t="str">
        <f t="shared" si="8"/>
        <v xml:space="preserve"> </v>
      </c>
    </row>
    <row r="130" spans="1:14">
      <c r="A130" s="64">
        <v>202425128</v>
      </c>
      <c r="E130" s="187" t="str">
        <f>IF(ISBLANK(D130),"",VLOOKUP(D130,ADMISSION!B:N,9,0))</f>
        <v/>
      </c>
      <c r="F130" s="187" t="str">
        <f>IF(ISBLANK(D130),"",VLOOKUP(D130,ADMISSION!B:N,10,))</f>
        <v/>
      </c>
      <c r="G130" s="192" t="str">
        <f t="shared" si="10"/>
        <v/>
      </c>
      <c r="H130" s="192" t="str">
        <f>IF(ISBLANK(D130),"",G130-SUMIF($D$1:D129,D130,$I$1:I129))</f>
        <v/>
      </c>
      <c r="J130" s="192" t="str">
        <f t="shared" si="11"/>
        <v/>
      </c>
      <c r="K130" s="195" t="str">
        <f>IF(ISBLANK(D130),"",SUMIF($D$1:D130,D130,$I$1:I130))</f>
        <v/>
      </c>
      <c r="M130" s="199" t="str">
        <f t="shared" si="9"/>
        <v xml:space="preserve"> </v>
      </c>
      <c r="N130" s="10" t="str">
        <f t="shared" si="8"/>
        <v xml:space="preserve"> </v>
      </c>
    </row>
    <row r="131" spans="1:14">
      <c r="A131" s="64">
        <v>202425129</v>
      </c>
      <c r="E131" s="187" t="str">
        <f>IF(ISBLANK(D131),"",VLOOKUP(D131,ADMISSION!B:N,9,0))</f>
        <v/>
      </c>
      <c r="F131" s="187" t="str">
        <f>IF(ISBLANK(D131),"",VLOOKUP(D131,ADMISSION!B:N,10,))</f>
        <v/>
      </c>
      <c r="G131" s="192" t="str">
        <f t="shared" ref="G131:G162" si="12">IF(ISBLANK(D131),"",E131-F131)</f>
        <v/>
      </c>
      <c r="H131" s="192" t="str">
        <f>IF(ISBLANK(D131),"",G131-SUMIF($D$1:D130,D131,$I$1:I130))</f>
        <v/>
      </c>
      <c r="J131" s="192" t="str">
        <f t="shared" ref="J131:J162" si="13">IF(ISBLANK(D131),"",G131-K131)</f>
        <v/>
      </c>
      <c r="K131" s="195" t="str">
        <f>IF(ISBLANK(D131),"",SUMIF($D$1:D131,D131,$I$1:I131))</f>
        <v/>
      </c>
      <c r="M131" s="199" t="str">
        <f t="shared" si="9"/>
        <v xml:space="preserve"> </v>
      </c>
      <c r="N131" s="10" t="str">
        <f t="shared" si="8"/>
        <v xml:space="preserve"> </v>
      </c>
    </row>
    <row r="132" spans="1:14">
      <c r="A132" s="64">
        <v>202425130</v>
      </c>
      <c r="E132" s="187" t="str">
        <f>IF(ISBLANK(D132),"",VLOOKUP(D132,ADMISSION!B:N,9,0))</f>
        <v/>
      </c>
      <c r="F132" s="187" t="str">
        <f>IF(ISBLANK(D132),"",VLOOKUP(D132,ADMISSION!B:N,10,))</f>
        <v/>
      </c>
      <c r="G132" s="192" t="str">
        <f t="shared" si="12"/>
        <v/>
      </c>
      <c r="H132" s="192" t="str">
        <f>IF(ISBLANK(D132),"",G132-SUMIF($D$1:D131,D132,$I$1:I131))</f>
        <v/>
      </c>
      <c r="J132" s="192" t="str">
        <f t="shared" si="13"/>
        <v/>
      </c>
      <c r="K132" s="195" t="str">
        <f>IF(ISBLANK(D132),"",SUMIF($D$1:D132,D132,$I$1:I132))</f>
        <v/>
      </c>
      <c r="M132" s="199" t="str">
        <f t="shared" si="9"/>
        <v xml:space="preserve"> </v>
      </c>
      <c r="N132" s="10" t="str">
        <f t="shared" ref="N132:N195" si="14">IF(OR(ISBLANK(A132),ISBLANK(D132))," ",HYPERLINK("file:///C:/Users/ADMIN/Desktop/Fee Register 2024-'25/invoice pdf/"&amp;A132&amp;"-"&amp;D132&amp;".pdf","PDF"))</f>
        <v xml:space="preserve"> </v>
      </c>
    </row>
    <row r="133" spans="1:14">
      <c r="A133" s="64">
        <v>202425131</v>
      </c>
      <c r="E133" s="187" t="str">
        <f>IF(ISBLANK(D133),"",VLOOKUP(D133,ADMISSION!B:N,9,0))</f>
        <v/>
      </c>
      <c r="F133" s="187" t="str">
        <f>IF(ISBLANK(D133),"",VLOOKUP(D133,ADMISSION!B:N,10,))</f>
        <v/>
      </c>
      <c r="G133" s="192" t="str">
        <f t="shared" si="12"/>
        <v/>
      </c>
      <c r="H133" s="192" t="str">
        <f>IF(ISBLANK(D133),"",G133-SUMIF($D$1:D132,D133,$I$1:I132))</f>
        <v/>
      </c>
      <c r="J133" s="192" t="str">
        <f t="shared" si="13"/>
        <v/>
      </c>
      <c r="K133" s="195" t="str">
        <f>IF(ISBLANK(D133),"",SUMIF($D$1:D133,D133,$I$1:I133))</f>
        <v/>
      </c>
      <c r="M133" s="199" t="str">
        <f t="shared" ref="M133:M196" si="15">IF(ISBLANK(I133)," ",M132+I133)</f>
        <v xml:space="preserve"> </v>
      </c>
      <c r="N133" s="10" t="str">
        <f t="shared" si="14"/>
        <v xml:space="preserve"> </v>
      </c>
    </row>
    <row r="134" spans="1:14">
      <c r="A134" s="64">
        <v>202425132</v>
      </c>
      <c r="E134" s="187" t="str">
        <f>IF(ISBLANK(D134),"",VLOOKUP(D134,ADMISSION!B:N,9,0))</f>
        <v/>
      </c>
      <c r="F134" s="187" t="str">
        <f>IF(ISBLANK(D134),"",VLOOKUP(D134,ADMISSION!B:N,10,))</f>
        <v/>
      </c>
      <c r="G134" s="192" t="str">
        <f t="shared" si="12"/>
        <v/>
      </c>
      <c r="H134" s="192" t="str">
        <f>IF(ISBLANK(D134),"",G134-SUMIF($D$1:D133,D134,$I$1:I133))</f>
        <v/>
      </c>
      <c r="J134" s="192" t="str">
        <f t="shared" si="13"/>
        <v/>
      </c>
      <c r="K134" s="195" t="str">
        <f>IF(ISBLANK(D134),"",SUMIF($D$1:D134,D134,$I$1:I134))</f>
        <v/>
      </c>
      <c r="M134" s="199" t="str">
        <f t="shared" si="15"/>
        <v xml:space="preserve"> </v>
      </c>
      <c r="N134" s="10" t="str">
        <f t="shared" si="14"/>
        <v xml:space="preserve"> </v>
      </c>
    </row>
    <row r="135" spans="1:14">
      <c r="A135" s="64">
        <v>202425133</v>
      </c>
      <c r="E135" s="187" t="str">
        <f>IF(ISBLANK(D135),"",VLOOKUP(D135,ADMISSION!B:N,9,0))</f>
        <v/>
      </c>
      <c r="F135" s="187" t="str">
        <f>IF(ISBLANK(D135),"",VLOOKUP(D135,ADMISSION!B:N,10,))</f>
        <v/>
      </c>
      <c r="G135" s="192" t="str">
        <f t="shared" si="12"/>
        <v/>
      </c>
      <c r="H135" s="192" t="str">
        <f>IF(ISBLANK(D135),"",G135-SUMIF($D$1:D134,D135,$I$1:I134))</f>
        <v/>
      </c>
      <c r="J135" s="192" t="str">
        <f t="shared" si="13"/>
        <v/>
      </c>
      <c r="K135" s="195" t="str">
        <f>IF(ISBLANK(D135),"",SUMIF($D$1:D135,D135,$I$1:I135))</f>
        <v/>
      </c>
      <c r="M135" s="199" t="str">
        <f t="shared" si="15"/>
        <v xml:space="preserve"> </v>
      </c>
      <c r="N135" s="10" t="str">
        <f t="shared" si="14"/>
        <v xml:space="preserve"> </v>
      </c>
    </row>
    <row r="136" spans="1:14">
      <c r="A136" s="64">
        <v>202425134</v>
      </c>
      <c r="E136" s="187" t="str">
        <f>IF(ISBLANK(D136),"",VLOOKUP(D136,ADMISSION!B:N,9,0))</f>
        <v/>
      </c>
      <c r="F136" s="187" t="str">
        <f>IF(ISBLANK(D136),"",VLOOKUP(D136,ADMISSION!B:N,10,))</f>
        <v/>
      </c>
      <c r="G136" s="192" t="str">
        <f t="shared" si="12"/>
        <v/>
      </c>
      <c r="H136" s="192" t="str">
        <f>IF(ISBLANK(D136),"",G136-SUMIF($D$1:D135,D136,$I$1:I135))</f>
        <v/>
      </c>
      <c r="J136" s="192" t="str">
        <f t="shared" si="13"/>
        <v/>
      </c>
      <c r="K136" s="195" t="str">
        <f>IF(ISBLANK(D136),"",SUMIF($D$1:D136,D136,$I$1:I136))</f>
        <v/>
      </c>
      <c r="M136" s="199" t="str">
        <f t="shared" si="15"/>
        <v xml:space="preserve"> </v>
      </c>
      <c r="N136" s="10" t="str">
        <f t="shared" si="14"/>
        <v xml:space="preserve"> </v>
      </c>
    </row>
    <row r="137" spans="1:14">
      <c r="A137" s="64">
        <v>202425135</v>
      </c>
      <c r="E137" s="187" t="str">
        <f>IF(ISBLANK(D137),"",VLOOKUP(D137,ADMISSION!B:N,9,0))</f>
        <v/>
      </c>
      <c r="F137" s="187" t="str">
        <f>IF(ISBLANK(D137),"",VLOOKUP(D137,ADMISSION!B:N,10,))</f>
        <v/>
      </c>
      <c r="G137" s="192" t="str">
        <f t="shared" si="12"/>
        <v/>
      </c>
      <c r="H137" s="192" t="str">
        <f>IF(ISBLANK(D137),"",G137-SUMIF($D$1:D136,D137,$I$1:I136))</f>
        <v/>
      </c>
      <c r="J137" s="192" t="str">
        <f t="shared" si="13"/>
        <v/>
      </c>
      <c r="K137" s="195" t="str">
        <f>IF(ISBLANK(D137),"",SUMIF($D$1:D137,D137,$I$1:I137))</f>
        <v/>
      </c>
      <c r="M137" s="199" t="str">
        <f t="shared" si="15"/>
        <v xml:space="preserve"> </v>
      </c>
      <c r="N137" s="10" t="str">
        <f t="shared" si="14"/>
        <v xml:space="preserve"> </v>
      </c>
    </row>
    <row r="138" spans="1:14">
      <c r="A138" s="64">
        <v>202425136</v>
      </c>
      <c r="E138" s="187" t="str">
        <f>IF(ISBLANK(D138),"",VLOOKUP(D138,ADMISSION!B:N,9,0))</f>
        <v/>
      </c>
      <c r="F138" s="187" t="str">
        <f>IF(ISBLANK(D138),"",VLOOKUP(D138,ADMISSION!B:N,10,))</f>
        <v/>
      </c>
      <c r="G138" s="192" t="str">
        <f t="shared" si="12"/>
        <v/>
      </c>
      <c r="H138" s="192" t="str">
        <f>IF(ISBLANK(D138),"",G138-SUMIF($D$1:D137,D138,$I$1:I137))</f>
        <v/>
      </c>
      <c r="J138" s="192" t="str">
        <f t="shared" si="13"/>
        <v/>
      </c>
      <c r="K138" s="195" t="str">
        <f>IF(ISBLANK(D138),"",SUMIF($D$1:D138,D138,$I$1:I138))</f>
        <v/>
      </c>
      <c r="M138" s="199" t="str">
        <f t="shared" si="15"/>
        <v xml:space="preserve"> </v>
      </c>
      <c r="N138" s="10" t="str">
        <f t="shared" si="14"/>
        <v xml:space="preserve"> </v>
      </c>
    </row>
    <row r="139" spans="1:14">
      <c r="A139" s="64">
        <v>202425137</v>
      </c>
      <c r="E139" s="187" t="str">
        <f>IF(ISBLANK(D139),"",VLOOKUP(D139,ADMISSION!B:N,9,0))</f>
        <v/>
      </c>
      <c r="F139" s="187" t="str">
        <f>IF(ISBLANK(D139),"",VLOOKUP(D139,ADMISSION!B:N,10,))</f>
        <v/>
      </c>
      <c r="G139" s="192" t="str">
        <f t="shared" si="12"/>
        <v/>
      </c>
      <c r="H139" s="192" t="str">
        <f>IF(ISBLANK(D139),"",G139-SUMIF($D$1:D138,D139,$I$1:I138))</f>
        <v/>
      </c>
      <c r="J139" s="192" t="str">
        <f t="shared" si="13"/>
        <v/>
      </c>
      <c r="K139" s="195" t="str">
        <f>IF(ISBLANK(D139),"",SUMIF($D$1:D139,D139,$I$1:I139))</f>
        <v/>
      </c>
      <c r="M139" s="199" t="str">
        <f t="shared" si="15"/>
        <v xml:space="preserve"> </v>
      </c>
      <c r="N139" s="10" t="str">
        <f t="shared" si="14"/>
        <v xml:space="preserve"> </v>
      </c>
    </row>
    <row r="140" spans="1:14">
      <c r="A140" s="64">
        <v>202425138</v>
      </c>
      <c r="E140" s="187" t="str">
        <f>IF(ISBLANK(D140),"",VLOOKUP(D140,ADMISSION!B:N,9,0))</f>
        <v/>
      </c>
      <c r="F140" s="187" t="str">
        <f>IF(ISBLANK(D140),"",VLOOKUP(D140,ADMISSION!B:N,10,))</f>
        <v/>
      </c>
      <c r="G140" s="192" t="str">
        <f t="shared" si="12"/>
        <v/>
      </c>
      <c r="H140" s="192" t="str">
        <f>IF(ISBLANK(D140),"",G140-SUMIF($D$1:D139,D140,$I$1:I139))</f>
        <v/>
      </c>
      <c r="J140" s="192" t="str">
        <f t="shared" si="13"/>
        <v/>
      </c>
      <c r="K140" s="195" t="str">
        <f>IF(ISBLANK(D140),"",SUMIF($D$1:D140,D140,$I$1:I140))</f>
        <v/>
      </c>
      <c r="M140" s="199" t="str">
        <f t="shared" si="15"/>
        <v xml:space="preserve"> </v>
      </c>
      <c r="N140" s="10" t="str">
        <f t="shared" si="14"/>
        <v xml:space="preserve"> </v>
      </c>
    </row>
    <row r="141" spans="1:14">
      <c r="A141" s="64">
        <v>202425139</v>
      </c>
      <c r="E141" s="187" t="str">
        <f>IF(ISBLANK(D141),"",VLOOKUP(D141,ADMISSION!B:N,9,0))</f>
        <v/>
      </c>
      <c r="F141" s="187" t="str">
        <f>IF(ISBLANK(D141),"",VLOOKUP(D141,ADMISSION!B:N,10,))</f>
        <v/>
      </c>
      <c r="G141" s="192" t="str">
        <f t="shared" si="12"/>
        <v/>
      </c>
      <c r="H141" s="192" t="str">
        <f>IF(ISBLANK(D141),"",G141-SUMIF($D$1:D140,D141,$I$1:I140))</f>
        <v/>
      </c>
      <c r="J141" s="192" t="str">
        <f t="shared" si="13"/>
        <v/>
      </c>
      <c r="K141" s="195" t="str">
        <f>IF(ISBLANK(D141),"",SUMIF($D$1:D141,D141,$I$1:I141))</f>
        <v/>
      </c>
      <c r="M141" s="199" t="str">
        <f t="shared" si="15"/>
        <v xml:space="preserve"> </v>
      </c>
      <c r="N141" s="10" t="str">
        <f t="shared" si="14"/>
        <v xml:space="preserve"> </v>
      </c>
    </row>
    <row r="142" spans="1:14">
      <c r="A142" s="64">
        <v>202425140</v>
      </c>
      <c r="E142" s="187" t="str">
        <f>IF(ISBLANK(D142),"",VLOOKUP(D142,ADMISSION!B:N,9,0))</f>
        <v/>
      </c>
      <c r="F142" s="187" t="str">
        <f>IF(ISBLANK(D142),"",VLOOKUP(D142,ADMISSION!B:N,10,))</f>
        <v/>
      </c>
      <c r="G142" s="192" t="str">
        <f t="shared" si="12"/>
        <v/>
      </c>
      <c r="H142" s="192" t="str">
        <f>IF(ISBLANK(D142),"",G142-SUMIF($D$1:D141,D142,$I$1:I141))</f>
        <v/>
      </c>
      <c r="J142" s="192" t="str">
        <f t="shared" si="13"/>
        <v/>
      </c>
      <c r="K142" s="195" t="str">
        <f>IF(ISBLANK(D142),"",SUMIF($D$1:D142,D142,$I$1:I142))</f>
        <v/>
      </c>
      <c r="M142" s="199" t="str">
        <f t="shared" si="15"/>
        <v xml:space="preserve"> </v>
      </c>
      <c r="N142" s="10" t="str">
        <f t="shared" si="14"/>
        <v xml:space="preserve"> </v>
      </c>
    </row>
    <row r="143" spans="1:14">
      <c r="A143" s="64">
        <v>202425141</v>
      </c>
      <c r="E143" s="187" t="str">
        <f>IF(ISBLANK(D143),"",VLOOKUP(D143,ADMISSION!B:N,9,0))</f>
        <v/>
      </c>
      <c r="F143" s="187" t="str">
        <f>IF(ISBLANK(D143),"",VLOOKUP(D143,ADMISSION!B:N,10,))</f>
        <v/>
      </c>
      <c r="G143" s="192" t="str">
        <f t="shared" si="12"/>
        <v/>
      </c>
      <c r="H143" s="192" t="str">
        <f>IF(ISBLANK(D143),"",G143-SUMIF($D$1:D142,D143,$I$1:I142))</f>
        <v/>
      </c>
      <c r="J143" s="192" t="str">
        <f t="shared" si="13"/>
        <v/>
      </c>
      <c r="K143" s="195" t="str">
        <f>IF(ISBLANK(D143),"",SUMIF($D$1:D143,D143,$I$1:I143))</f>
        <v/>
      </c>
      <c r="M143" s="199" t="str">
        <f t="shared" si="15"/>
        <v xml:space="preserve"> </v>
      </c>
      <c r="N143" s="10" t="str">
        <f t="shared" si="14"/>
        <v xml:space="preserve"> </v>
      </c>
    </row>
    <row r="144" spans="1:14">
      <c r="A144" s="64">
        <v>202425142</v>
      </c>
      <c r="E144" s="187" t="str">
        <f>IF(ISBLANK(D144),"",VLOOKUP(D144,ADMISSION!B:N,9,0))</f>
        <v/>
      </c>
      <c r="F144" s="187" t="str">
        <f>IF(ISBLANK(D144),"",VLOOKUP(D144,ADMISSION!B:N,10,))</f>
        <v/>
      </c>
      <c r="G144" s="192" t="str">
        <f t="shared" si="12"/>
        <v/>
      </c>
      <c r="H144" s="192" t="str">
        <f>IF(ISBLANK(D144),"",G144-SUMIF($D$1:D143,D144,$I$1:I143))</f>
        <v/>
      </c>
      <c r="J144" s="192" t="str">
        <f t="shared" si="13"/>
        <v/>
      </c>
      <c r="K144" s="195" t="str">
        <f>IF(ISBLANK(D144),"",SUMIF($D$1:D144,D144,$I$1:I144))</f>
        <v/>
      </c>
      <c r="M144" s="199" t="str">
        <f t="shared" si="15"/>
        <v xml:space="preserve"> </v>
      </c>
      <c r="N144" s="10" t="str">
        <f t="shared" si="14"/>
        <v xml:space="preserve"> </v>
      </c>
    </row>
    <row r="145" spans="1:14">
      <c r="A145" s="64">
        <v>202425143</v>
      </c>
      <c r="E145" s="187" t="str">
        <f>IF(ISBLANK(D145),"",VLOOKUP(D145,ADMISSION!B:N,9,0))</f>
        <v/>
      </c>
      <c r="F145" s="187" t="str">
        <f>IF(ISBLANK(D145),"",VLOOKUP(D145,ADMISSION!B:N,10,))</f>
        <v/>
      </c>
      <c r="G145" s="192" t="str">
        <f t="shared" si="12"/>
        <v/>
      </c>
      <c r="H145" s="192" t="str">
        <f>IF(ISBLANK(D145),"",G145-SUMIF($D$1:D144,D145,$I$1:I144))</f>
        <v/>
      </c>
      <c r="J145" s="192" t="str">
        <f t="shared" si="13"/>
        <v/>
      </c>
      <c r="K145" s="195" t="str">
        <f>IF(ISBLANK(D145),"",SUMIF($D$1:D145,D145,$I$1:I145))</f>
        <v/>
      </c>
      <c r="M145" s="199" t="str">
        <f t="shared" si="15"/>
        <v xml:space="preserve"> </v>
      </c>
      <c r="N145" s="10" t="str">
        <f t="shared" si="14"/>
        <v xml:space="preserve"> </v>
      </c>
    </row>
    <row r="146" spans="1:14">
      <c r="A146" s="64">
        <v>202425144</v>
      </c>
      <c r="E146" s="187" t="str">
        <f>IF(ISBLANK(D146),"",VLOOKUP(D146,ADMISSION!B:N,9,0))</f>
        <v/>
      </c>
      <c r="F146" s="187" t="str">
        <f>IF(ISBLANK(D146),"",VLOOKUP(D146,ADMISSION!B:N,10,))</f>
        <v/>
      </c>
      <c r="G146" s="192" t="str">
        <f t="shared" si="12"/>
        <v/>
      </c>
      <c r="H146" s="192" t="str">
        <f>IF(ISBLANK(D146),"",G146-SUMIF($D$1:D145,D146,$I$1:I145))</f>
        <v/>
      </c>
      <c r="J146" s="192" t="str">
        <f t="shared" si="13"/>
        <v/>
      </c>
      <c r="K146" s="195" t="str">
        <f>IF(ISBLANK(D146),"",SUMIF($D$1:D146,D146,$I$1:I146))</f>
        <v/>
      </c>
      <c r="M146" s="199" t="str">
        <f t="shared" si="15"/>
        <v xml:space="preserve"> </v>
      </c>
      <c r="N146" s="10" t="str">
        <f t="shared" si="14"/>
        <v xml:space="preserve"> </v>
      </c>
    </row>
    <row r="147" spans="1:14">
      <c r="A147" s="64">
        <v>202425145</v>
      </c>
      <c r="E147" s="187" t="str">
        <f>IF(ISBLANK(D147),"",VLOOKUP(D147,ADMISSION!B:N,9,0))</f>
        <v/>
      </c>
      <c r="F147" s="187" t="str">
        <f>IF(ISBLANK(D147),"",VLOOKUP(D147,ADMISSION!B:N,10,))</f>
        <v/>
      </c>
      <c r="G147" s="192" t="str">
        <f t="shared" si="12"/>
        <v/>
      </c>
      <c r="H147" s="192" t="str">
        <f>IF(ISBLANK(D147),"",G147-SUMIF($D$1:D146,D147,$I$1:I146))</f>
        <v/>
      </c>
      <c r="J147" s="192" t="str">
        <f t="shared" si="13"/>
        <v/>
      </c>
      <c r="K147" s="195" t="str">
        <f>IF(ISBLANK(D147),"",SUMIF($D$1:D147,D147,$I$1:I147))</f>
        <v/>
      </c>
      <c r="M147" s="199" t="str">
        <f t="shared" si="15"/>
        <v xml:space="preserve"> </v>
      </c>
      <c r="N147" s="10" t="str">
        <f t="shared" si="14"/>
        <v xml:space="preserve"> </v>
      </c>
    </row>
    <row r="148" spans="1:14">
      <c r="A148" s="64">
        <v>202425146</v>
      </c>
      <c r="E148" s="187" t="str">
        <f>IF(ISBLANK(D148),"",VLOOKUP(D148,ADMISSION!B:N,9,0))</f>
        <v/>
      </c>
      <c r="F148" s="187" t="str">
        <f>IF(ISBLANK(D148),"",VLOOKUP(D148,ADMISSION!B:N,10,))</f>
        <v/>
      </c>
      <c r="G148" s="192" t="str">
        <f t="shared" si="12"/>
        <v/>
      </c>
      <c r="H148" s="192" t="str">
        <f>IF(ISBLANK(D148),"",G148-SUMIF($D$1:D147,D148,$I$1:I147))</f>
        <v/>
      </c>
      <c r="J148" s="192" t="str">
        <f t="shared" si="13"/>
        <v/>
      </c>
      <c r="K148" s="195" t="str">
        <f>IF(ISBLANK(D148),"",SUMIF($D$1:D148,D148,$I$1:I148))</f>
        <v/>
      </c>
      <c r="M148" s="199" t="str">
        <f t="shared" si="15"/>
        <v xml:space="preserve"> </v>
      </c>
      <c r="N148" s="10" t="str">
        <f t="shared" si="14"/>
        <v xml:space="preserve"> </v>
      </c>
    </row>
    <row r="149" spans="1:14">
      <c r="A149" s="64">
        <v>202425147</v>
      </c>
      <c r="E149" s="187" t="str">
        <f>IF(ISBLANK(D149),"",VLOOKUP(D149,ADMISSION!B:N,9,0))</f>
        <v/>
      </c>
      <c r="F149" s="187" t="str">
        <f>IF(ISBLANK(D149),"",VLOOKUP(D149,ADMISSION!B:N,10,))</f>
        <v/>
      </c>
      <c r="G149" s="192" t="str">
        <f t="shared" si="12"/>
        <v/>
      </c>
      <c r="H149" s="192" t="str">
        <f>IF(ISBLANK(D149),"",G149-SUMIF($D$1:D148,D149,$I$1:I148))</f>
        <v/>
      </c>
      <c r="J149" s="192" t="str">
        <f t="shared" si="13"/>
        <v/>
      </c>
      <c r="K149" s="195" t="str">
        <f>IF(ISBLANK(D149),"",SUMIF($D$1:D149,D149,$I$1:I149))</f>
        <v/>
      </c>
      <c r="M149" s="199" t="str">
        <f t="shared" si="15"/>
        <v xml:space="preserve"> </v>
      </c>
      <c r="N149" s="10" t="str">
        <f t="shared" si="14"/>
        <v xml:space="preserve"> </v>
      </c>
    </row>
    <row r="150" spans="1:14">
      <c r="A150" s="64">
        <v>202425148</v>
      </c>
      <c r="E150" s="187" t="str">
        <f>IF(ISBLANK(D150),"",VLOOKUP(D150,ADMISSION!B:N,9,0))</f>
        <v/>
      </c>
      <c r="F150" s="187" t="str">
        <f>IF(ISBLANK(D150),"",VLOOKUP(D150,ADMISSION!B:N,10,))</f>
        <v/>
      </c>
      <c r="G150" s="192" t="str">
        <f t="shared" si="12"/>
        <v/>
      </c>
      <c r="H150" s="192" t="str">
        <f>IF(ISBLANK(D150),"",G150-SUMIF($D$1:D149,D150,$I$1:I149))</f>
        <v/>
      </c>
      <c r="J150" s="192" t="str">
        <f t="shared" si="13"/>
        <v/>
      </c>
      <c r="K150" s="195" t="str">
        <f>IF(ISBLANK(D150),"",SUMIF($D$1:D150,D150,$I$1:I150))</f>
        <v/>
      </c>
      <c r="M150" s="199" t="str">
        <f t="shared" si="15"/>
        <v xml:space="preserve"> </v>
      </c>
      <c r="N150" s="10" t="str">
        <f t="shared" si="14"/>
        <v xml:space="preserve"> </v>
      </c>
    </row>
    <row r="151" spans="1:14">
      <c r="A151" s="64">
        <v>202425149</v>
      </c>
      <c r="E151" s="187" t="str">
        <f>IF(ISBLANK(D151),"",VLOOKUP(D151,ADMISSION!B:N,9,0))</f>
        <v/>
      </c>
      <c r="F151" s="187" t="str">
        <f>IF(ISBLANK(D151),"",VLOOKUP(D151,ADMISSION!B:N,10,))</f>
        <v/>
      </c>
      <c r="G151" s="192" t="str">
        <f t="shared" si="12"/>
        <v/>
      </c>
      <c r="H151" s="192" t="str">
        <f>IF(ISBLANK(D151),"",G151-SUMIF($D$1:D150,D151,$I$1:I150))</f>
        <v/>
      </c>
      <c r="J151" s="192" t="str">
        <f t="shared" si="13"/>
        <v/>
      </c>
      <c r="K151" s="195" t="str">
        <f>IF(ISBLANK(D151),"",SUMIF($D$1:D151,D151,$I$1:I151))</f>
        <v/>
      </c>
      <c r="M151" s="199" t="str">
        <f t="shared" si="15"/>
        <v xml:space="preserve"> </v>
      </c>
      <c r="N151" s="10" t="str">
        <f t="shared" si="14"/>
        <v xml:space="preserve"> </v>
      </c>
    </row>
    <row r="152" spans="1:14">
      <c r="A152" s="64">
        <v>202425150</v>
      </c>
      <c r="E152" s="187" t="str">
        <f>IF(ISBLANK(D152),"",VLOOKUP(D152,ADMISSION!B:N,9,0))</f>
        <v/>
      </c>
      <c r="F152" s="187" t="str">
        <f>IF(ISBLANK(D152),"",VLOOKUP(D152,ADMISSION!B:N,10,))</f>
        <v/>
      </c>
      <c r="G152" s="192" t="str">
        <f t="shared" si="12"/>
        <v/>
      </c>
      <c r="H152" s="192" t="str">
        <f>IF(ISBLANK(D152),"",G152-SUMIF($D$1:D151,D152,$I$1:I151))</f>
        <v/>
      </c>
      <c r="J152" s="192" t="str">
        <f t="shared" si="13"/>
        <v/>
      </c>
      <c r="K152" s="195" t="str">
        <f>IF(ISBLANK(D152),"",SUMIF($D$1:D152,D152,$I$1:I152))</f>
        <v/>
      </c>
      <c r="M152" s="199" t="str">
        <f t="shared" si="15"/>
        <v xml:space="preserve"> </v>
      </c>
      <c r="N152" s="10" t="str">
        <f t="shared" si="14"/>
        <v xml:space="preserve"> </v>
      </c>
    </row>
    <row r="153" spans="1:14">
      <c r="A153" s="64">
        <v>202425151</v>
      </c>
      <c r="E153" s="187" t="str">
        <f>IF(ISBLANK(D153),"",VLOOKUP(D153,ADMISSION!B:N,9,0))</f>
        <v/>
      </c>
      <c r="F153" s="187" t="str">
        <f>IF(ISBLANK(D153),"",VLOOKUP(D153,ADMISSION!B:N,10,))</f>
        <v/>
      </c>
      <c r="G153" s="192" t="str">
        <f t="shared" si="12"/>
        <v/>
      </c>
      <c r="H153" s="192" t="str">
        <f>IF(ISBLANK(D153),"",G153-SUMIF($D$1:D152,D153,$I$1:I152))</f>
        <v/>
      </c>
      <c r="J153" s="192" t="str">
        <f t="shared" si="13"/>
        <v/>
      </c>
      <c r="K153" s="195" t="str">
        <f>IF(ISBLANK(D153),"",SUMIF($D$1:D153,D153,$I$1:I153))</f>
        <v/>
      </c>
      <c r="M153" s="199" t="str">
        <f t="shared" si="15"/>
        <v xml:space="preserve"> </v>
      </c>
      <c r="N153" s="10" t="str">
        <f t="shared" si="14"/>
        <v xml:space="preserve"> </v>
      </c>
    </row>
    <row r="154" spans="1:14">
      <c r="A154" s="64">
        <v>202425152</v>
      </c>
      <c r="E154" s="187" t="str">
        <f>IF(ISBLANK(D154),"",VLOOKUP(D154,ADMISSION!B:N,9,0))</f>
        <v/>
      </c>
      <c r="F154" s="187" t="str">
        <f>IF(ISBLANK(D154),"",VLOOKUP(D154,ADMISSION!B:N,10,))</f>
        <v/>
      </c>
      <c r="G154" s="192" t="str">
        <f t="shared" si="12"/>
        <v/>
      </c>
      <c r="H154" s="192" t="str">
        <f>IF(ISBLANK(D154),"",G154-SUMIF($D$1:D153,D154,$I$1:I153))</f>
        <v/>
      </c>
      <c r="J154" s="192" t="str">
        <f t="shared" si="13"/>
        <v/>
      </c>
      <c r="K154" s="195" t="str">
        <f>IF(ISBLANK(D154),"",SUMIF($D$1:D154,D154,$I$1:I154))</f>
        <v/>
      </c>
      <c r="M154" s="199" t="str">
        <f t="shared" si="15"/>
        <v xml:space="preserve"> </v>
      </c>
      <c r="N154" s="10" t="str">
        <f t="shared" si="14"/>
        <v xml:space="preserve"> </v>
      </c>
    </row>
    <row r="155" spans="1:14">
      <c r="A155" s="64">
        <v>202425153</v>
      </c>
      <c r="E155" s="187" t="str">
        <f>IF(ISBLANK(D155),"",VLOOKUP(D155,ADMISSION!B:N,9,0))</f>
        <v/>
      </c>
      <c r="F155" s="187" t="str">
        <f>IF(ISBLANK(D155),"",VLOOKUP(D155,ADMISSION!B:N,10,))</f>
        <v/>
      </c>
      <c r="G155" s="192" t="str">
        <f t="shared" si="12"/>
        <v/>
      </c>
      <c r="H155" s="192" t="str">
        <f>IF(ISBLANK(D155),"",G155-SUMIF($D$1:D154,D155,$I$1:I154))</f>
        <v/>
      </c>
      <c r="J155" s="192" t="str">
        <f t="shared" si="13"/>
        <v/>
      </c>
      <c r="K155" s="195" t="str">
        <f>IF(ISBLANK(D155),"",SUMIF($D$1:D155,D155,$I$1:I155))</f>
        <v/>
      </c>
      <c r="M155" s="199" t="str">
        <f t="shared" si="15"/>
        <v xml:space="preserve"> </v>
      </c>
      <c r="N155" s="10" t="str">
        <f t="shared" si="14"/>
        <v xml:space="preserve"> </v>
      </c>
    </row>
    <row r="156" spans="1:14">
      <c r="A156" s="64">
        <v>202425154</v>
      </c>
      <c r="E156" s="187" t="str">
        <f>IF(ISBLANK(D156),"",VLOOKUP(D156,ADMISSION!B:N,9,0))</f>
        <v/>
      </c>
      <c r="F156" s="187" t="str">
        <f>IF(ISBLANK(D156),"",VLOOKUP(D156,ADMISSION!B:N,10,))</f>
        <v/>
      </c>
      <c r="G156" s="192" t="str">
        <f t="shared" si="12"/>
        <v/>
      </c>
      <c r="H156" s="192" t="str">
        <f>IF(ISBLANK(D156),"",G156-SUMIF($D$1:D155,D156,$I$1:I155))</f>
        <v/>
      </c>
      <c r="J156" s="192" t="str">
        <f t="shared" si="13"/>
        <v/>
      </c>
      <c r="K156" s="195" t="str">
        <f>IF(ISBLANK(D156),"",SUMIF($D$1:D156,D156,$I$1:I156))</f>
        <v/>
      </c>
      <c r="M156" s="199" t="str">
        <f t="shared" si="15"/>
        <v xml:space="preserve"> </v>
      </c>
      <c r="N156" s="10" t="str">
        <f t="shared" si="14"/>
        <v xml:space="preserve"> </v>
      </c>
    </row>
    <row r="157" spans="1:14">
      <c r="A157" s="64">
        <v>202425155</v>
      </c>
      <c r="E157" s="187" t="str">
        <f>IF(ISBLANK(D157),"",VLOOKUP(D157,ADMISSION!B:N,9,0))</f>
        <v/>
      </c>
      <c r="F157" s="187" t="str">
        <f>IF(ISBLANK(D157),"",VLOOKUP(D157,ADMISSION!B:N,10,))</f>
        <v/>
      </c>
      <c r="G157" s="192" t="str">
        <f t="shared" si="12"/>
        <v/>
      </c>
      <c r="H157" s="192" t="str">
        <f>IF(ISBLANK(D157),"",G157-SUMIF($D$1:D156,D157,$I$1:I156))</f>
        <v/>
      </c>
      <c r="J157" s="192" t="str">
        <f t="shared" si="13"/>
        <v/>
      </c>
      <c r="K157" s="195" t="str">
        <f>IF(ISBLANK(D157),"",SUMIF($D$1:D157,D157,$I$1:I157))</f>
        <v/>
      </c>
      <c r="M157" s="199" t="str">
        <f t="shared" si="15"/>
        <v xml:space="preserve"> </v>
      </c>
      <c r="N157" s="10" t="str">
        <f t="shared" si="14"/>
        <v xml:space="preserve"> </v>
      </c>
    </row>
    <row r="158" spans="1:14">
      <c r="A158" s="64">
        <v>202425156</v>
      </c>
      <c r="E158" s="187" t="str">
        <f>IF(ISBLANK(D158),"",VLOOKUP(D158,ADMISSION!B:N,9,0))</f>
        <v/>
      </c>
      <c r="F158" s="187" t="str">
        <f>IF(ISBLANK(D158),"",VLOOKUP(D158,ADMISSION!B:N,10,))</f>
        <v/>
      </c>
      <c r="G158" s="192" t="str">
        <f t="shared" si="12"/>
        <v/>
      </c>
      <c r="H158" s="192" t="str">
        <f>IF(ISBLANK(D158),"",G158-SUMIF($D$1:D157,D158,$I$1:I157))</f>
        <v/>
      </c>
      <c r="J158" s="192" t="str">
        <f t="shared" si="13"/>
        <v/>
      </c>
      <c r="K158" s="195" t="str">
        <f>IF(ISBLANK(D158),"",SUMIF($D$1:D158,D158,$I$1:I158))</f>
        <v/>
      </c>
      <c r="M158" s="199" t="str">
        <f t="shared" si="15"/>
        <v xml:space="preserve"> </v>
      </c>
      <c r="N158" s="10" t="str">
        <f t="shared" si="14"/>
        <v xml:space="preserve"> </v>
      </c>
    </row>
    <row r="159" spans="1:14">
      <c r="A159" s="64">
        <v>202425157</v>
      </c>
      <c r="E159" s="187" t="str">
        <f>IF(ISBLANK(D159),"",VLOOKUP(D159,ADMISSION!B:N,9,0))</f>
        <v/>
      </c>
      <c r="F159" s="187" t="str">
        <f>IF(ISBLANK(D159),"",VLOOKUP(D159,ADMISSION!B:N,10,))</f>
        <v/>
      </c>
      <c r="G159" s="192" t="str">
        <f t="shared" si="12"/>
        <v/>
      </c>
      <c r="H159" s="192" t="str">
        <f>IF(ISBLANK(D159),"",G159-SUMIF($D$1:D158,D159,$I$1:I158))</f>
        <v/>
      </c>
      <c r="J159" s="192" t="str">
        <f t="shared" si="13"/>
        <v/>
      </c>
      <c r="K159" s="195" t="str">
        <f>IF(ISBLANK(D159),"",SUMIF($D$1:D159,D159,$I$1:I159))</f>
        <v/>
      </c>
      <c r="M159" s="199" t="str">
        <f t="shared" si="15"/>
        <v xml:space="preserve"> </v>
      </c>
      <c r="N159" s="10" t="str">
        <f t="shared" si="14"/>
        <v xml:space="preserve"> </v>
      </c>
    </row>
    <row r="160" spans="1:14">
      <c r="A160" s="64">
        <v>202425158</v>
      </c>
      <c r="E160" s="187" t="str">
        <f>IF(ISBLANK(D160),"",VLOOKUP(D160,ADMISSION!B:N,9,0))</f>
        <v/>
      </c>
      <c r="F160" s="187" t="str">
        <f>IF(ISBLANK(D160),"",VLOOKUP(D160,ADMISSION!B:N,10,))</f>
        <v/>
      </c>
      <c r="G160" s="192" t="str">
        <f t="shared" si="12"/>
        <v/>
      </c>
      <c r="H160" s="192" t="str">
        <f>IF(ISBLANK(D160),"",G160-SUMIF($D$1:D159,D160,$I$1:I159))</f>
        <v/>
      </c>
      <c r="J160" s="192" t="str">
        <f t="shared" si="13"/>
        <v/>
      </c>
      <c r="K160" s="195" t="str">
        <f>IF(ISBLANK(D160),"",SUMIF($D$1:D160,D160,$I$1:I160))</f>
        <v/>
      </c>
      <c r="M160" s="199" t="str">
        <f t="shared" si="15"/>
        <v xml:space="preserve"> </v>
      </c>
      <c r="N160" s="10" t="str">
        <f t="shared" si="14"/>
        <v xml:space="preserve"> </v>
      </c>
    </row>
    <row r="161" spans="1:14">
      <c r="A161" s="64">
        <v>202425159</v>
      </c>
      <c r="E161" s="187" t="str">
        <f>IF(ISBLANK(D161),"",VLOOKUP(D161,ADMISSION!B:N,9,0))</f>
        <v/>
      </c>
      <c r="F161" s="187" t="str">
        <f>IF(ISBLANK(D161),"",VLOOKUP(D161,ADMISSION!B:N,10,))</f>
        <v/>
      </c>
      <c r="G161" s="192" t="str">
        <f t="shared" si="12"/>
        <v/>
      </c>
      <c r="H161" s="192" t="str">
        <f>IF(ISBLANK(D161),"",G161-SUMIF($D$1:D160,D161,$I$1:I160))</f>
        <v/>
      </c>
      <c r="J161" s="192" t="str">
        <f t="shared" si="13"/>
        <v/>
      </c>
      <c r="K161" s="195" t="str">
        <f>IF(ISBLANK(D161),"",SUMIF($D$1:D161,D161,$I$1:I161))</f>
        <v/>
      </c>
      <c r="M161" s="199" t="str">
        <f t="shared" si="15"/>
        <v xml:space="preserve"> </v>
      </c>
      <c r="N161" s="10" t="str">
        <f t="shared" si="14"/>
        <v xml:space="preserve"> </v>
      </c>
    </row>
    <row r="162" spans="1:14">
      <c r="A162" s="64">
        <v>202425160</v>
      </c>
      <c r="E162" s="187" t="str">
        <f>IF(ISBLANK(D162),"",VLOOKUP(D162,ADMISSION!B:N,9,0))</f>
        <v/>
      </c>
      <c r="F162" s="187" t="str">
        <f>IF(ISBLANK(D162),"",VLOOKUP(D162,ADMISSION!B:N,10,))</f>
        <v/>
      </c>
      <c r="G162" s="192" t="str">
        <f t="shared" si="12"/>
        <v/>
      </c>
      <c r="H162" s="192" t="str">
        <f>IF(ISBLANK(D162),"",G162-SUMIF($D$1:D161,D162,$I$1:I161))</f>
        <v/>
      </c>
      <c r="J162" s="192" t="str">
        <f t="shared" si="13"/>
        <v/>
      </c>
      <c r="K162" s="195" t="str">
        <f>IF(ISBLANK(D162),"",SUMIF($D$1:D162,D162,$I$1:I162))</f>
        <v/>
      </c>
      <c r="M162" s="199" t="str">
        <f t="shared" si="15"/>
        <v xml:space="preserve"> </v>
      </c>
      <c r="N162" s="10" t="str">
        <f t="shared" si="14"/>
        <v xml:space="preserve"> </v>
      </c>
    </row>
    <row r="163" spans="1:14">
      <c r="A163" s="64">
        <v>202425161</v>
      </c>
      <c r="E163" s="187" t="str">
        <f>IF(ISBLANK(D163),"",VLOOKUP(D163,ADMISSION!B:N,9,0))</f>
        <v/>
      </c>
      <c r="F163" s="187" t="str">
        <f>IF(ISBLANK(D163),"",VLOOKUP(D163,ADMISSION!B:N,10,))</f>
        <v/>
      </c>
      <c r="G163" s="192" t="str">
        <f t="shared" ref="G163:G194" si="16">IF(ISBLANK(D163),"",E163-F163)</f>
        <v/>
      </c>
      <c r="H163" s="192" t="str">
        <f>IF(ISBLANK(D163),"",G163-SUMIF($D$1:D162,D163,$I$1:I162))</f>
        <v/>
      </c>
      <c r="J163" s="192" t="str">
        <f t="shared" ref="J163:J194" si="17">IF(ISBLANK(D163),"",G163-K163)</f>
        <v/>
      </c>
      <c r="K163" s="195" t="str">
        <f>IF(ISBLANK(D163),"",SUMIF($D$1:D163,D163,$I$1:I163))</f>
        <v/>
      </c>
      <c r="M163" s="199" t="str">
        <f t="shared" si="15"/>
        <v xml:space="preserve"> </v>
      </c>
      <c r="N163" s="10" t="str">
        <f t="shared" si="14"/>
        <v xml:space="preserve"> </v>
      </c>
    </row>
    <row r="164" spans="1:14">
      <c r="A164" s="64">
        <v>202425162</v>
      </c>
      <c r="E164" s="187" t="str">
        <f>IF(ISBLANK(D164),"",VLOOKUP(D164,ADMISSION!B:N,9,0))</f>
        <v/>
      </c>
      <c r="F164" s="187" t="str">
        <f>IF(ISBLANK(D164),"",VLOOKUP(D164,ADMISSION!B:N,10,))</f>
        <v/>
      </c>
      <c r="G164" s="192" t="str">
        <f t="shared" si="16"/>
        <v/>
      </c>
      <c r="H164" s="192" t="str">
        <f>IF(ISBLANK(D164),"",G164-SUMIF($D$1:D163,D164,$I$1:I163))</f>
        <v/>
      </c>
      <c r="J164" s="192" t="str">
        <f t="shared" si="17"/>
        <v/>
      </c>
      <c r="K164" s="195" t="str">
        <f>IF(ISBLANK(D164),"",SUMIF($D$1:D164,D164,$I$1:I164))</f>
        <v/>
      </c>
      <c r="M164" s="199" t="str">
        <f t="shared" si="15"/>
        <v xml:space="preserve"> </v>
      </c>
      <c r="N164" s="10" t="str">
        <f t="shared" si="14"/>
        <v xml:space="preserve"> </v>
      </c>
    </row>
    <row r="165" spans="1:14">
      <c r="A165" s="64">
        <v>202425163</v>
      </c>
      <c r="E165" s="187" t="str">
        <f>IF(ISBLANK(D165),"",VLOOKUP(D165,ADMISSION!B:N,9,0))</f>
        <v/>
      </c>
      <c r="F165" s="187" t="str">
        <f>IF(ISBLANK(D165),"",VLOOKUP(D165,ADMISSION!B:N,10,))</f>
        <v/>
      </c>
      <c r="G165" s="192" t="str">
        <f t="shared" si="16"/>
        <v/>
      </c>
      <c r="H165" s="192" t="str">
        <f>IF(ISBLANK(D165),"",G165-SUMIF($D$1:D164,D165,$I$1:I164))</f>
        <v/>
      </c>
      <c r="J165" s="192" t="str">
        <f t="shared" si="17"/>
        <v/>
      </c>
      <c r="K165" s="195" t="str">
        <f>IF(ISBLANK(D165),"",SUMIF($D$1:D165,D165,$I$1:I165))</f>
        <v/>
      </c>
      <c r="M165" s="199" t="str">
        <f t="shared" si="15"/>
        <v xml:space="preserve"> </v>
      </c>
      <c r="N165" s="10" t="str">
        <f t="shared" si="14"/>
        <v xml:space="preserve"> </v>
      </c>
    </row>
    <row r="166" spans="1:14">
      <c r="A166" s="64">
        <v>202425164</v>
      </c>
      <c r="E166" s="187" t="str">
        <f>IF(ISBLANK(D166),"",VLOOKUP(D166,ADMISSION!B:N,9,0))</f>
        <v/>
      </c>
      <c r="F166" s="187" t="str">
        <f>IF(ISBLANK(D166),"",VLOOKUP(D166,ADMISSION!B:N,10,))</f>
        <v/>
      </c>
      <c r="G166" s="192" t="str">
        <f t="shared" si="16"/>
        <v/>
      </c>
      <c r="H166" s="192" t="str">
        <f>IF(ISBLANK(D166),"",G166-SUMIF($D$1:D165,D166,$I$1:I165))</f>
        <v/>
      </c>
      <c r="J166" s="192" t="str">
        <f t="shared" si="17"/>
        <v/>
      </c>
      <c r="K166" s="195" t="str">
        <f>IF(ISBLANK(D166),"",SUMIF($D$1:D166,D166,$I$1:I166))</f>
        <v/>
      </c>
      <c r="M166" s="199" t="str">
        <f t="shared" si="15"/>
        <v xml:space="preserve"> </v>
      </c>
      <c r="N166" s="10" t="str">
        <f t="shared" si="14"/>
        <v xml:space="preserve"> </v>
      </c>
    </row>
    <row r="167" spans="1:14">
      <c r="A167" s="64">
        <v>202425165</v>
      </c>
      <c r="E167" s="187" t="str">
        <f>IF(ISBLANK(D167),"",VLOOKUP(D167,ADMISSION!B:N,9,0))</f>
        <v/>
      </c>
      <c r="F167" s="187" t="str">
        <f>IF(ISBLANK(D167),"",VLOOKUP(D167,ADMISSION!B:N,10,))</f>
        <v/>
      </c>
      <c r="G167" s="192" t="str">
        <f t="shared" si="16"/>
        <v/>
      </c>
      <c r="H167" s="192" t="str">
        <f>IF(ISBLANK(D167),"",G167-SUMIF($D$1:D166,D167,$I$1:I166))</f>
        <v/>
      </c>
      <c r="J167" s="192" t="str">
        <f t="shared" si="17"/>
        <v/>
      </c>
      <c r="K167" s="195" t="str">
        <f>IF(ISBLANK(D167),"",SUMIF($D$1:D167,D167,$I$1:I167))</f>
        <v/>
      </c>
      <c r="M167" s="199" t="str">
        <f t="shared" si="15"/>
        <v xml:space="preserve"> </v>
      </c>
      <c r="N167" s="10" t="str">
        <f t="shared" si="14"/>
        <v xml:space="preserve"> </v>
      </c>
    </row>
    <row r="168" spans="1:14">
      <c r="A168" s="64">
        <v>202425166</v>
      </c>
      <c r="E168" s="187" t="str">
        <f>IF(ISBLANK(D168),"",VLOOKUP(D168,ADMISSION!B:N,9,0))</f>
        <v/>
      </c>
      <c r="F168" s="187" t="str">
        <f>IF(ISBLANK(D168),"",VLOOKUP(D168,ADMISSION!B:N,10,))</f>
        <v/>
      </c>
      <c r="G168" s="192" t="str">
        <f t="shared" si="16"/>
        <v/>
      </c>
      <c r="H168" s="192" t="str">
        <f>IF(ISBLANK(D168),"",G168-SUMIF($D$1:D167,D168,$I$1:I167))</f>
        <v/>
      </c>
      <c r="J168" s="192" t="str">
        <f t="shared" si="17"/>
        <v/>
      </c>
      <c r="K168" s="195" t="str">
        <f>IF(ISBLANK(D168),"",SUMIF($D$1:D168,D168,$I$1:I168))</f>
        <v/>
      </c>
      <c r="M168" s="199" t="str">
        <f t="shared" si="15"/>
        <v xml:space="preserve"> </v>
      </c>
      <c r="N168" s="10" t="str">
        <f t="shared" si="14"/>
        <v xml:space="preserve"> </v>
      </c>
    </row>
    <row r="169" spans="1:14">
      <c r="A169" s="64">
        <v>202425167</v>
      </c>
      <c r="E169" s="187" t="str">
        <f>IF(ISBLANK(D169),"",VLOOKUP(D169,ADMISSION!B:N,9,0))</f>
        <v/>
      </c>
      <c r="F169" s="187" t="str">
        <f>IF(ISBLANK(D169),"",VLOOKUP(D169,ADMISSION!B:N,10,))</f>
        <v/>
      </c>
      <c r="G169" s="192" t="str">
        <f t="shared" si="16"/>
        <v/>
      </c>
      <c r="H169" s="192" t="str">
        <f>IF(ISBLANK(D169),"",G169-SUMIF($D$1:D168,D169,$I$1:I168))</f>
        <v/>
      </c>
      <c r="J169" s="192" t="str">
        <f t="shared" si="17"/>
        <v/>
      </c>
      <c r="K169" s="195" t="str">
        <f>IF(ISBLANK(D169),"",SUMIF($D$1:D169,D169,$I$1:I169))</f>
        <v/>
      </c>
      <c r="M169" s="199" t="str">
        <f t="shared" si="15"/>
        <v xml:space="preserve"> </v>
      </c>
      <c r="N169" s="10" t="str">
        <f t="shared" si="14"/>
        <v xml:space="preserve"> </v>
      </c>
    </row>
    <row r="170" spans="1:14">
      <c r="A170" s="64">
        <v>202425168</v>
      </c>
      <c r="E170" s="187" t="str">
        <f>IF(ISBLANK(D170),"",VLOOKUP(D170,ADMISSION!B:N,9,0))</f>
        <v/>
      </c>
      <c r="F170" s="187" t="str">
        <f>IF(ISBLANK(D170),"",VLOOKUP(D170,ADMISSION!B:N,10,))</f>
        <v/>
      </c>
      <c r="G170" s="192" t="str">
        <f t="shared" si="16"/>
        <v/>
      </c>
      <c r="H170" s="192" t="str">
        <f>IF(ISBLANK(D170),"",G170-SUMIF($D$1:D169,D170,$I$1:I169))</f>
        <v/>
      </c>
      <c r="J170" s="192" t="str">
        <f t="shared" si="17"/>
        <v/>
      </c>
      <c r="K170" s="195" t="str">
        <f>IF(ISBLANK(D170),"",SUMIF($D$1:D170,D170,$I$1:I170))</f>
        <v/>
      </c>
      <c r="M170" s="199" t="str">
        <f t="shared" si="15"/>
        <v xml:space="preserve"> </v>
      </c>
      <c r="N170" s="10" t="str">
        <f t="shared" si="14"/>
        <v xml:space="preserve"> </v>
      </c>
    </row>
    <row r="171" spans="1:14">
      <c r="A171" s="64">
        <v>202425169</v>
      </c>
      <c r="E171" s="187" t="str">
        <f>IF(ISBLANK(D171),"",VLOOKUP(D171,ADMISSION!B:N,9,0))</f>
        <v/>
      </c>
      <c r="F171" s="187" t="str">
        <f>IF(ISBLANK(D171),"",VLOOKUP(D171,ADMISSION!B:N,10,))</f>
        <v/>
      </c>
      <c r="G171" s="192" t="str">
        <f t="shared" si="16"/>
        <v/>
      </c>
      <c r="H171" s="192" t="str">
        <f>IF(ISBLANK(D171),"",G171-SUMIF($D$1:D170,D171,$I$1:I170))</f>
        <v/>
      </c>
      <c r="J171" s="192" t="str">
        <f t="shared" si="17"/>
        <v/>
      </c>
      <c r="K171" s="195" t="str">
        <f>IF(ISBLANK(D171),"",SUMIF($D$1:D171,D171,$I$1:I171))</f>
        <v/>
      </c>
      <c r="M171" s="199" t="str">
        <f t="shared" si="15"/>
        <v xml:space="preserve"> </v>
      </c>
      <c r="N171" s="10" t="str">
        <f t="shared" si="14"/>
        <v xml:space="preserve"> </v>
      </c>
    </row>
    <row r="172" spans="1:14">
      <c r="A172" s="64">
        <v>202425170</v>
      </c>
      <c r="E172" s="187" t="str">
        <f>IF(ISBLANK(D172),"",VLOOKUP(D172,ADMISSION!B:N,9,0))</f>
        <v/>
      </c>
      <c r="F172" s="187" t="str">
        <f>IF(ISBLANK(D172),"",VLOOKUP(D172,ADMISSION!B:N,10,))</f>
        <v/>
      </c>
      <c r="G172" s="192" t="str">
        <f t="shared" si="16"/>
        <v/>
      </c>
      <c r="H172" s="192" t="str">
        <f>IF(ISBLANK(D172),"",G172-SUMIF($D$1:D171,D172,$I$1:I171))</f>
        <v/>
      </c>
      <c r="J172" s="192" t="str">
        <f t="shared" si="17"/>
        <v/>
      </c>
      <c r="K172" s="195" t="str">
        <f>IF(ISBLANK(D172),"",SUMIF($D$1:D172,D172,$I$1:I172))</f>
        <v/>
      </c>
      <c r="M172" s="199" t="str">
        <f t="shared" si="15"/>
        <v xml:space="preserve"> </v>
      </c>
      <c r="N172" s="10" t="str">
        <f t="shared" si="14"/>
        <v xml:space="preserve"> </v>
      </c>
    </row>
    <row r="173" spans="1:14">
      <c r="A173" s="64">
        <v>202425171</v>
      </c>
      <c r="E173" s="187" t="str">
        <f>IF(ISBLANK(D173),"",VLOOKUP(D173,ADMISSION!B:N,9,0))</f>
        <v/>
      </c>
      <c r="F173" s="187" t="str">
        <f>IF(ISBLANK(D173),"",VLOOKUP(D173,ADMISSION!B:N,10,))</f>
        <v/>
      </c>
      <c r="G173" s="192" t="str">
        <f t="shared" si="16"/>
        <v/>
      </c>
      <c r="H173" s="192" t="str">
        <f>IF(ISBLANK(D173),"",G173-SUMIF($D$1:D172,D173,$I$1:I172))</f>
        <v/>
      </c>
      <c r="J173" s="192" t="str">
        <f t="shared" si="17"/>
        <v/>
      </c>
      <c r="K173" s="195" t="str">
        <f>IF(ISBLANK(D173),"",SUMIF($D$1:D173,D173,$I$1:I173))</f>
        <v/>
      </c>
      <c r="M173" s="199" t="str">
        <f t="shared" si="15"/>
        <v xml:space="preserve"> </v>
      </c>
      <c r="N173" s="10" t="str">
        <f t="shared" si="14"/>
        <v xml:space="preserve"> </v>
      </c>
    </row>
    <row r="174" spans="1:14">
      <c r="A174" s="64">
        <v>202425172</v>
      </c>
      <c r="E174" s="187" t="str">
        <f>IF(ISBLANK(D174),"",VLOOKUP(D174,ADMISSION!B:N,9,0))</f>
        <v/>
      </c>
      <c r="F174" s="187" t="str">
        <f>IF(ISBLANK(D174),"",VLOOKUP(D174,ADMISSION!B:N,10,))</f>
        <v/>
      </c>
      <c r="G174" s="192" t="str">
        <f t="shared" si="16"/>
        <v/>
      </c>
      <c r="H174" s="192" t="str">
        <f>IF(ISBLANK(D174),"",G174-SUMIF($D$1:D173,D174,$I$1:I173))</f>
        <v/>
      </c>
      <c r="J174" s="192" t="str">
        <f t="shared" si="17"/>
        <v/>
      </c>
      <c r="K174" s="195" t="str">
        <f>IF(ISBLANK(D174),"",SUMIF($D$1:D174,D174,$I$1:I174))</f>
        <v/>
      </c>
      <c r="M174" s="199" t="str">
        <f t="shared" si="15"/>
        <v xml:space="preserve"> </v>
      </c>
      <c r="N174" s="10" t="str">
        <f t="shared" si="14"/>
        <v xml:space="preserve"> </v>
      </c>
    </row>
    <row r="175" spans="1:14">
      <c r="A175" s="64">
        <v>202425173</v>
      </c>
      <c r="E175" s="187" t="str">
        <f>IF(ISBLANK(D175),"",VLOOKUP(D175,ADMISSION!B:N,9,0))</f>
        <v/>
      </c>
      <c r="F175" s="187" t="str">
        <f>IF(ISBLANK(D175),"",VLOOKUP(D175,ADMISSION!B:N,10,))</f>
        <v/>
      </c>
      <c r="G175" s="192" t="str">
        <f t="shared" si="16"/>
        <v/>
      </c>
      <c r="H175" s="192" t="str">
        <f>IF(ISBLANK(D175),"",G175-SUMIF($D$1:D174,D175,$I$1:I174))</f>
        <v/>
      </c>
      <c r="J175" s="192" t="str">
        <f t="shared" si="17"/>
        <v/>
      </c>
      <c r="K175" s="195" t="str">
        <f>IF(ISBLANK(D175),"",SUMIF($D$1:D175,D175,$I$1:I175))</f>
        <v/>
      </c>
      <c r="M175" s="199" t="str">
        <f t="shared" si="15"/>
        <v xml:space="preserve"> </v>
      </c>
      <c r="N175" s="10" t="str">
        <f t="shared" si="14"/>
        <v xml:space="preserve"> </v>
      </c>
    </row>
    <row r="176" spans="1:14">
      <c r="A176" s="64">
        <v>202425174</v>
      </c>
      <c r="E176" s="187" t="str">
        <f>IF(ISBLANK(D176),"",VLOOKUP(D176,ADMISSION!B:N,9,0))</f>
        <v/>
      </c>
      <c r="F176" s="187" t="str">
        <f>IF(ISBLANK(D176),"",VLOOKUP(D176,ADMISSION!B:N,10,))</f>
        <v/>
      </c>
      <c r="G176" s="192" t="str">
        <f t="shared" si="16"/>
        <v/>
      </c>
      <c r="H176" s="192" t="str">
        <f>IF(ISBLANK(D176),"",G176-SUMIF($D$1:D175,D176,$I$1:I175))</f>
        <v/>
      </c>
      <c r="J176" s="192" t="str">
        <f t="shared" si="17"/>
        <v/>
      </c>
      <c r="K176" s="195" t="str">
        <f>IF(ISBLANK(D176),"",SUMIF($D$1:D176,D176,$I$1:I176))</f>
        <v/>
      </c>
      <c r="M176" s="199" t="str">
        <f t="shared" si="15"/>
        <v xml:space="preserve"> </v>
      </c>
      <c r="N176" s="10" t="str">
        <f t="shared" si="14"/>
        <v xml:space="preserve"> </v>
      </c>
    </row>
    <row r="177" spans="1:14">
      <c r="A177" s="64">
        <v>202425175</v>
      </c>
      <c r="E177" s="187" t="str">
        <f>IF(ISBLANK(D177),"",VLOOKUP(D177,ADMISSION!B:N,9,0))</f>
        <v/>
      </c>
      <c r="F177" s="187" t="str">
        <f>IF(ISBLANK(D177),"",VLOOKUP(D177,ADMISSION!B:N,10,))</f>
        <v/>
      </c>
      <c r="G177" s="192" t="str">
        <f t="shared" si="16"/>
        <v/>
      </c>
      <c r="H177" s="192" t="str">
        <f>IF(ISBLANK(D177),"",G177-SUMIF($D$1:D176,D177,$I$1:I176))</f>
        <v/>
      </c>
      <c r="J177" s="192" t="str">
        <f t="shared" si="17"/>
        <v/>
      </c>
      <c r="K177" s="195" t="str">
        <f>IF(ISBLANK(D177),"",SUMIF($D$1:D177,D177,$I$1:I177))</f>
        <v/>
      </c>
      <c r="M177" s="199" t="str">
        <f t="shared" si="15"/>
        <v xml:space="preserve"> </v>
      </c>
      <c r="N177" s="10" t="str">
        <f t="shared" si="14"/>
        <v xml:space="preserve"> </v>
      </c>
    </row>
    <row r="178" spans="1:14">
      <c r="A178" s="64">
        <v>202425176</v>
      </c>
      <c r="E178" s="187" t="str">
        <f>IF(ISBLANK(D178),"",VLOOKUP(D178,ADMISSION!B:N,9,0))</f>
        <v/>
      </c>
      <c r="F178" s="187" t="str">
        <f>IF(ISBLANK(D178),"",VLOOKUP(D178,ADMISSION!B:N,10,))</f>
        <v/>
      </c>
      <c r="G178" s="192" t="str">
        <f t="shared" si="16"/>
        <v/>
      </c>
      <c r="H178" s="192" t="str">
        <f>IF(ISBLANK(D178),"",G178-SUMIF($D$1:D177,D178,$I$1:I177))</f>
        <v/>
      </c>
      <c r="J178" s="192" t="str">
        <f t="shared" si="17"/>
        <v/>
      </c>
      <c r="K178" s="195" t="str">
        <f>IF(ISBLANK(D178),"",SUMIF($D$1:D178,D178,$I$1:I178))</f>
        <v/>
      </c>
      <c r="M178" s="199" t="str">
        <f t="shared" si="15"/>
        <v xml:space="preserve"> </v>
      </c>
      <c r="N178" s="10" t="str">
        <f t="shared" si="14"/>
        <v xml:space="preserve"> </v>
      </c>
    </row>
    <row r="179" spans="1:14">
      <c r="A179" s="64">
        <v>202425177</v>
      </c>
      <c r="E179" s="187" t="str">
        <f>IF(ISBLANK(D179),"",VLOOKUP(D179,ADMISSION!B:N,9,0))</f>
        <v/>
      </c>
      <c r="F179" s="187" t="str">
        <f>IF(ISBLANK(D179),"",VLOOKUP(D179,ADMISSION!B:N,10,))</f>
        <v/>
      </c>
      <c r="G179" s="192" t="str">
        <f t="shared" si="16"/>
        <v/>
      </c>
      <c r="H179" s="192" t="str">
        <f>IF(ISBLANK(D179),"",G179-SUMIF($D$1:D178,D179,$I$1:I178))</f>
        <v/>
      </c>
      <c r="J179" s="192" t="str">
        <f t="shared" si="17"/>
        <v/>
      </c>
      <c r="K179" s="195" t="str">
        <f>IF(ISBLANK(D179),"",SUMIF($D$1:D179,D179,$I$1:I179))</f>
        <v/>
      </c>
      <c r="M179" s="199" t="str">
        <f t="shared" si="15"/>
        <v xml:space="preserve"> </v>
      </c>
      <c r="N179" s="10" t="str">
        <f t="shared" si="14"/>
        <v xml:space="preserve"> </v>
      </c>
    </row>
    <row r="180" spans="1:14">
      <c r="A180" s="64">
        <v>202425178</v>
      </c>
      <c r="E180" s="187" t="str">
        <f>IF(ISBLANK(D180),"",VLOOKUP(D180,ADMISSION!B:N,9,0))</f>
        <v/>
      </c>
      <c r="F180" s="187" t="str">
        <f>IF(ISBLANK(D180),"",VLOOKUP(D180,ADMISSION!B:N,10,))</f>
        <v/>
      </c>
      <c r="G180" s="192" t="str">
        <f t="shared" si="16"/>
        <v/>
      </c>
      <c r="H180" s="192" t="str">
        <f>IF(ISBLANK(D180),"",G180-SUMIF($D$1:D179,D180,$I$1:I179))</f>
        <v/>
      </c>
      <c r="J180" s="192" t="str">
        <f t="shared" si="17"/>
        <v/>
      </c>
      <c r="K180" s="195" t="str">
        <f>IF(ISBLANK(D180),"",SUMIF($D$1:D180,D180,$I$1:I180))</f>
        <v/>
      </c>
      <c r="M180" s="199" t="str">
        <f t="shared" si="15"/>
        <v xml:space="preserve"> </v>
      </c>
      <c r="N180" s="10" t="str">
        <f t="shared" si="14"/>
        <v xml:space="preserve"> </v>
      </c>
    </row>
    <row r="181" spans="1:14">
      <c r="A181" s="64">
        <v>202425179</v>
      </c>
      <c r="E181" s="187" t="str">
        <f>IF(ISBLANK(D181),"",VLOOKUP(D181,ADMISSION!B:N,9,0))</f>
        <v/>
      </c>
      <c r="F181" s="187" t="str">
        <f>IF(ISBLANK(D181),"",VLOOKUP(D181,ADMISSION!B:N,10,))</f>
        <v/>
      </c>
      <c r="G181" s="192" t="str">
        <f t="shared" si="16"/>
        <v/>
      </c>
      <c r="H181" s="192" t="str">
        <f>IF(ISBLANK(D181),"",G181-SUMIF($D$1:D180,D181,$I$1:I180))</f>
        <v/>
      </c>
      <c r="J181" s="192" t="str">
        <f t="shared" si="17"/>
        <v/>
      </c>
      <c r="K181" s="195" t="str">
        <f>IF(ISBLANK(D181),"",SUMIF($D$1:D181,D181,$I$1:I181))</f>
        <v/>
      </c>
      <c r="M181" s="199" t="str">
        <f t="shared" si="15"/>
        <v xml:space="preserve"> </v>
      </c>
      <c r="N181" s="10" t="str">
        <f t="shared" si="14"/>
        <v xml:space="preserve"> </v>
      </c>
    </row>
    <row r="182" spans="1:14">
      <c r="A182" s="64">
        <v>202425180</v>
      </c>
      <c r="E182" s="187" t="str">
        <f>IF(ISBLANK(D182),"",VLOOKUP(D182,ADMISSION!B:N,9,0))</f>
        <v/>
      </c>
      <c r="F182" s="187" t="str">
        <f>IF(ISBLANK(D182),"",VLOOKUP(D182,ADMISSION!B:N,10,))</f>
        <v/>
      </c>
      <c r="G182" s="192" t="str">
        <f t="shared" si="16"/>
        <v/>
      </c>
      <c r="H182" s="192" t="str">
        <f>IF(ISBLANK(D182),"",G182-SUMIF($D$1:D181,D182,$I$1:I181))</f>
        <v/>
      </c>
      <c r="J182" s="192" t="str">
        <f t="shared" si="17"/>
        <v/>
      </c>
      <c r="K182" s="195" t="str">
        <f>IF(ISBLANK(D182),"",SUMIF($D$1:D182,D182,$I$1:I182))</f>
        <v/>
      </c>
      <c r="M182" s="199" t="str">
        <f t="shared" si="15"/>
        <v xml:space="preserve"> </v>
      </c>
      <c r="N182" s="10" t="str">
        <f t="shared" si="14"/>
        <v xml:space="preserve"> </v>
      </c>
    </row>
    <row r="183" spans="1:14">
      <c r="A183" s="64">
        <v>202425181</v>
      </c>
      <c r="E183" s="187" t="str">
        <f>IF(ISBLANK(D183),"",VLOOKUP(D183,ADMISSION!B:N,9,0))</f>
        <v/>
      </c>
      <c r="F183" s="187" t="str">
        <f>IF(ISBLANK(D183),"",VLOOKUP(D183,ADMISSION!B:N,10,))</f>
        <v/>
      </c>
      <c r="G183" s="192" t="str">
        <f t="shared" si="16"/>
        <v/>
      </c>
      <c r="H183" s="192" t="str">
        <f>IF(ISBLANK(D183),"",G183-SUMIF($D$1:D182,D183,$I$1:I182))</f>
        <v/>
      </c>
      <c r="J183" s="192" t="str">
        <f t="shared" si="17"/>
        <v/>
      </c>
      <c r="K183" s="195" t="str">
        <f>IF(ISBLANK(D183),"",SUMIF($D$1:D183,D183,$I$1:I183))</f>
        <v/>
      </c>
      <c r="M183" s="199" t="str">
        <f t="shared" si="15"/>
        <v xml:space="preserve"> </v>
      </c>
      <c r="N183" s="10" t="str">
        <f t="shared" si="14"/>
        <v xml:space="preserve"> </v>
      </c>
    </row>
    <row r="184" spans="1:14">
      <c r="A184" s="64">
        <v>202425182</v>
      </c>
      <c r="E184" s="187" t="str">
        <f>IF(ISBLANK(D184),"",VLOOKUP(D184,ADMISSION!B:N,9,0))</f>
        <v/>
      </c>
      <c r="F184" s="187" t="str">
        <f>IF(ISBLANK(D184),"",VLOOKUP(D184,ADMISSION!B:N,10,))</f>
        <v/>
      </c>
      <c r="G184" s="192" t="str">
        <f t="shared" si="16"/>
        <v/>
      </c>
      <c r="H184" s="192" t="str">
        <f>IF(ISBLANK(D184),"",G184-SUMIF($D$1:D183,D184,$I$1:I183))</f>
        <v/>
      </c>
      <c r="J184" s="192" t="str">
        <f t="shared" si="17"/>
        <v/>
      </c>
      <c r="K184" s="195" t="str">
        <f>IF(ISBLANK(D184),"",SUMIF($D$1:D184,D184,$I$1:I184))</f>
        <v/>
      </c>
      <c r="M184" s="199" t="str">
        <f t="shared" si="15"/>
        <v xml:space="preserve"> </v>
      </c>
      <c r="N184" s="10" t="str">
        <f t="shared" si="14"/>
        <v xml:space="preserve"> </v>
      </c>
    </row>
    <row r="185" spans="1:14">
      <c r="A185" s="64">
        <v>202425183</v>
      </c>
      <c r="E185" s="187" t="str">
        <f>IF(ISBLANK(D185),"",VLOOKUP(D185,ADMISSION!B:N,9,0))</f>
        <v/>
      </c>
      <c r="F185" s="187" t="str">
        <f>IF(ISBLANK(D185),"",VLOOKUP(D185,ADMISSION!B:N,10,))</f>
        <v/>
      </c>
      <c r="G185" s="192" t="str">
        <f t="shared" si="16"/>
        <v/>
      </c>
      <c r="H185" s="192" t="str">
        <f>IF(ISBLANK(D185),"",G185-SUMIF($D$1:D184,D185,$I$1:I184))</f>
        <v/>
      </c>
      <c r="J185" s="192" t="str">
        <f t="shared" si="17"/>
        <v/>
      </c>
      <c r="K185" s="195" t="str">
        <f>IF(ISBLANK(D185),"",SUMIF($D$1:D185,D185,$I$1:I185))</f>
        <v/>
      </c>
      <c r="M185" s="199" t="str">
        <f t="shared" si="15"/>
        <v xml:space="preserve"> </v>
      </c>
      <c r="N185" s="10" t="str">
        <f t="shared" si="14"/>
        <v xml:space="preserve"> </v>
      </c>
    </row>
    <row r="186" spans="1:14">
      <c r="A186" s="64">
        <v>202425184</v>
      </c>
      <c r="E186" s="187" t="str">
        <f>IF(ISBLANK(D186),"",VLOOKUP(D186,ADMISSION!B:N,9,0))</f>
        <v/>
      </c>
      <c r="F186" s="187" t="str">
        <f>IF(ISBLANK(D186),"",VLOOKUP(D186,ADMISSION!B:N,10,))</f>
        <v/>
      </c>
      <c r="G186" s="192" t="str">
        <f t="shared" si="16"/>
        <v/>
      </c>
      <c r="H186" s="192" t="str">
        <f>IF(ISBLANK(D186),"",G186-SUMIF($D$1:D185,D186,$I$1:I185))</f>
        <v/>
      </c>
      <c r="J186" s="192" t="str">
        <f t="shared" si="17"/>
        <v/>
      </c>
      <c r="K186" s="195" t="str">
        <f>IF(ISBLANK(D186),"",SUMIF($D$1:D186,D186,$I$1:I186))</f>
        <v/>
      </c>
      <c r="M186" s="199" t="str">
        <f t="shared" si="15"/>
        <v xml:space="preserve"> </v>
      </c>
      <c r="N186" s="10" t="str">
        <f t="shared" si="14"/>
        <v xml:space="preserve"> </v>
      </c>
    </row>
    <row r="187" spans="1:14">
      <c r="A187" s="64">
        <v>202425185</v>
      </c>
      <c r="E187" s="187" t="str">
        <f>IF(ISBLANK(D187),"",VLOOKUP(D187,ADMISSION!B:N,9,0))</f>
        <v/>
      </c>
      <c r="F187" s="187" t="str">
        <f>IF(ISBLANK(D187),"",VLOOKUP(D187,ADMISSION!B:N,10,))</f>
        <v/>
      </c>
      <c r="G187" s="192" t="str">
        <f t="shared" si="16"/>
        <v/>
      </c>
      <c r="H187" s="192" t="str">
        <f>IF(ISBLANK(D187),"",G187-SUMIF($D$1:D186,D187,$I$1:I186))</f>
        <v/>
      </c>
      <c r="J187" s="192" t="str">
        <f t="shared" si="17"/>
        <v/>
      </c>
      <c r="K187" s="195" t="str">
        <f>IF(ISBLANK(D187),"",SUMIF($D$1:D187,D187,$I$1:I187))</f>
        <v/>
      </c>
      <c r="M187" s="199" t="str">
        <f t="shared" si="15"/>
        <v xml:space="preserve"> </v>
      </c>
      <c r="N187" s="10" t="str">
        <f t="shared" si="14"/>
        <v xml:space="preserve"> </v>
      </c>
    </row>
    <row r="188" spans="1:14">
      <c r="A188" s="64">
        <v>202425186</v>
      </c>
      <c r="E188" s="187" t="str">
        <f>IF(ISBLANK(D188),"",VLOOKUP(D188,ADMISSION!B:N,9,0))</f>
        <v/>
      </c>
      <c r="F188" s="187" t="str">
        <f>IF(ISBLANK(D188),"",VLOOKUP(D188,ADMISSION!B:N,10,))</f>
        <v/>
      </c>
      <c r="G188" s="192" t="str">
        <f t="shared" si="16"/>
        <v/>
      </c>
      <c r="H188" s="192" t="str">
        <f>IF(ISBLANK(D188),"",G188-SUMIF($D$1:D187,D188,$I$1:I187))</f>
        <v/>
      </c>
      <c r="J188" s="192" t="str">
        <f t="shared" si="17"/>
        <v/>
      </c>
      <c r="K188" s="195" t="str">
        <f>IF(ISBLANK(D188),"",SUMIF($D$1:D188,D188,$I$1:I188))</f>
        <v/>
      </c>
      <c r="M188" s="199" t="str">
        <f t="shared" si="15"/>
        <v xml:space="preserve"> </v>
      </c>
      <c r="N188" s="10" t="str">
        <f t="shared" si="14"/>
        <v xml:space="preserve"> </v>
      </c>
    </row>
    <row r="189" spans="1:14">
      <c r="A189" s="64">
        <v>202425187</v>
      </c>
      <c r="E189" s="187" t="str">
        <f>IF(ISBLANK(D189),"",VLOOKUP(D189,ADMISSION!B:N,9,0))</f>
        <v/>
      </c>
      <c r="F189" s="187" t="str">
        <f>IF(ISBLANK(D189),"",VLOOKUP(D189,ADMISSION!B:N,10,))</f>
        <v/>
      </c>
      <c r="G189" s="192" t="str">
        <f t="shared" si="16"/>
        <v/>
      </c>
      <c r="H189" s="192" t="str">
        <f>IF(ISBLANK(D189),"",G189-SUMIF($D$1:D188,D189,$I$1:I188))</f>
        <v/>
      </c>
      <c r="J189" s="192" t="str">
        <f t="shared" si="17"/>
        <v/>
      </c>
      <c r="K189" s="195" t="str">
        <f>IF(ISBLANK(D189),"",SUMIF($D$1:D189,D189,$I$1:I189))</f>
        <v/>
      </c>
      <c r="M189" s="199" t="str">
        <f t="shared" si="15"/>
        <v xml:space="preserve"> </v>
      </c>
      <c r="N189" s="10" t="str">
        <f t="shared" si="14"/>
        <v xml:space="preserve"> </v>
      </c>
    </row>
    <row r="190" spans="1:14">
      <c r="A190" s="64">
        <v>202425188</v>
      </c>
      <c r="E190" s="187" t="str">
        <f>IF(ISBLANK(D190),"",VLOOKUP(D190,ADMISSION!B:N,9,0))</f>
        <v/>
      </c>
      <c r="F190" s="187" t="str">
        <f>IF(ISBLANK(D190),"",VLOOKUP(D190,ADMISSION!B:N,10,))</f>
        <v/>
      </c>
      <c r="G190" s="192" t="str">
        <f t="shared" si="16"/>
        <v/>
      </c>
      <c r="H190" s="192" t="str">
        <f>IF(ISBLANK(D190),"",G190-SUMIF($D$1:D189,D190,$I$1:I189))</f>
        <v/>
      </c>
      <c r="J190" s="192" t="str">
        <f t="shared" si="17"/>
        <v/>
      </c>
      <c r="K190" s="195" t="str">
        <f>IF(ISBLANK(D190),"",SUMIF($D$1:D190,D190,$I$1:I190))</f>
        <v/>
      </c>
      <c r="M190" s="199" t="str">
        <f t="shared" si="15"/>
        <v xml:space="preserve"> </v>
      </c>
      <c r="N190" s="10" t="str">
        <f t="shared" si="14"/>
        <v xml:space="preserve"> </v>
      </c>
    </row>
    <row r="191" spans="1:14">
      <c r="A191" s="64">
        <v>202425189</v>
      </c>
      <c r="E191" s="187" t="str">
        <f>IF(ISBLANK(D191),"",VLOOKUP(D191,ADMISSION!B:N,9,0))</f>
        <v/>
      </c>
      <c r="F191" s="187" t="str">
        <f>IF(ISBLANK(D191),"",VLOOKUP(D191,ADMISSION!B:N,10,))</f>
        <v/>
      </c>
      <c r="G191" s="192" t="str">
        <f t="shared" si="16"/>
        <v/>
      </c>
      <c r="H191" s="192" t="str">
        <f>IF(ISBLANK(D191),"",G191-SUMIF($D$1:D190,D191,$I$1:I190))</f>
        <v/>
      </c>
      <c r="J191" s="192" t="str">
        <f t="shared" si="17"/>
        <v/>
      </c>
      <c r="K191" s="195" t="str">
        <f>IF(ISBLANK(D191),"",SUMIF($D$1:D191,D191,$I$1:I191))</f>
        <v/>
      </c>
      <c r="M191" s="199" t="str">
        <f t="shared" si="15"/>
        <v xml:space="preserve"> </v>
      </c>
      <c r="N191" s="10" t="str">
        <f t="shared" si="14"/>
        <v xml:space="preserve"> </v>
      </c>
    </row>
    <row r="192" spans="1:14">
      <c r="A192" s="64">
        <v>202425190</v>
      </c>
      <c r="E192" s="187" t="str">
        <f>IF(ISBLANK(D192),"",VLOOKUP(D192,ADMISSION!B:N,9,0))</f>
        <v/>
      </c>
      <c r="F192" s="187" t="str">
        <f>IF(ISBLANK(D192),"",VLOOKUP(D192,ADMISSION!B:N,10,))</f>
        <v/>
      </c>
      <c r="G192" s="192" t="str">
        <f t="shared" si="16"/>
        <v/>
      </c>
      <c r="H192" s="192" t="str">
        <f>IF(ISBLANK(D192),"",G192-SUMIF($D$1:D191,D192,$I$1:I191))</f>
        <v/>
      </c>
      <c r="J192" s="192" t="str">
        <f t="shared" si="17"/>
        <v/>
      </c>
      <c r="K192" s="195" t="str">
        <f>IF(ISBLANK(D192),"",SUMIF($D$1:D192,D192,$I$1:I192))</f>
        <v/>
      </c>
      <c r="M192" s="199" t="str">
        <f t="shared" si="15"/>
        <v xml:space="preserve"> </v>
      </c>
      <c r="N192" s="10" t="str">
        <f t="shared" si="14"/>
        <v xml:space="preserve"> </v>
      </c>
    </row>
    <row r="193" spans="1:14">
      <c r="A193" s="64">
        <v>202425191</v>
      </c>
      <c r="E193" s="187" t="str">
        <f>IF(ISBLANK(D193),"",VLOOKUP(D193,ADMISSION!B:N,9,0))</f>
        <v/>
      </c>
      <c r="F193" s="187" t="str">
        <f>IF(ISBLANK(D193),"",VLOOKUP(D193,ADMISSION!B:N,10,))</f>
        <v/>
      </c>
      <c r="G193" s="192" t="str">
        <f t="shared" si="16"/>
        <v/>
      </c>
      <c r="H193" s="192" t="str">
        <f>IF(ISBLANK(D193),"",G193-SUMIF($D$1:D192,D193,$I$1:I192))</f>
        <v/>
      </c>
      <c r="J193" s="192" t="str">
        <f t="shared" si="17"/>
        <v/>
      </c>
      <c r="K193" s="195" t="str">
        <f>IF(ISBLANK(D193),"",SUMIF($D$1:D193,D193,$I$1:I193))</f>
        <v/>
      </c>
      <c r="M193" s="199" t="str">
        <f t="shared" si="15"/>
        <v xml:space="preserve"> </v>
      </c>
      <c r="N193" s="10" t="str">
        <f t="shared" si="14"/>
        <v xml:space="preserve"> </v>
      </c>
    </row>
    <row r="194" spans="1:14">
      <c r="A194" s="64">
        <v>202425192</v>
      </c>
      <c r="E194" s="187" t="str">
        <f>IF(ISBLANK(D194),"",VLOOKUP(D194,ADMISSION!B:N,9,0))</f>
        <v/>
      </c>
      <c r="F194" s="187" t="str">
        <f>IF(ISBLANK(D194),"",VLOOKUP(D194,ADMISSION!B:N,10,))</f>
        <v/>
      </c>
      <c r="G194" s="192" t="str">
        <f t="shared" si="16"/>
        <v/>
      </c>
      <c r="H194" s="192" t="str">
        <f>IF(ISBLANK(D194),"",G194-SUMIF($D$1:D193,D194,$I$1:I193))</f>
        <v/>
      </c>
      <c r="J194" s="192" t="str">
        <f t="shared" si="17"/>
        <v/>
      </c>
      <c r="K194" s="195" t="str">
        <f>IF(ISBLANK(D194),"",SUMIF($D$1:D194,D194,$I$1:I194))</f>
        <v/>
      </c>
      <c r="M194" s="199" t="str">
        <f t="shared" si="15"/>
        <v xml:space="preserve"> </v>
      </c>
      <c r="N194" s="10" t="str">
        <f t="shared" si="14"/>
        <v xml:space="preserve"> </v>
      </c>
    </row>
    <row r="195" spans="1:14">
      <c r="A195" s="64">
        <v>202425193</v>
      </c>
      <c r="E195" s="187" t="str">
        <f>IF(ISBLANK(D195),"",VLOOKUP(D195,ADMISSION!B:N,9,0))</f>
        <v/>
      </c>
      <c r="F195" s="187" t="str">
        <f>IF(ISBLANK(D195),"",VLOOKUP(D195,ADMISSION!B:N,10,))</f>
        <v/>
      </c>
      <c r="G195" s="192" t="str">
        <f t="shared" ref="G195:G202" si="18">IF(ISBLANK(D195),"",E195-F195)</f>
        <v/>
      </c>
      <c r="H195" s="192" t="str">
        <f>IF(ISBLANK(D195),"",G195-SUMIF($D$1:D194,D195,$I$1:I194))</f>
        <v/>
      </c>
      <c r="J195" s="192" t="str">
        <f t="shared" ref="J195:J202" si="19">IF(ISBLANK(D195),"",G195-K195)</f>
        <v/>
      </c>
      <c r="K195" s="195" t="str">
        <f>IF(ISBLANK(D195),"",SUMIF($D$1:D195,D195,$I$1:I195))</f>
        <v/>
      </c>
      <c r="M195" s="199" t="str">
        <f t="shared" si="15"/>
        <v xml:space="preserve"> </v>
      </c>
      <c r="N195" s="10" t="str">
        <f t="shared" si="14"/>
        <v xml:space="preserve"> </v>
      </c>
    </row>
    <row r="196" spans="1:14">
      <c r="A196" s="64">
        <v>202425194</v>
      </c>
      <c r="E196" s="187" t="str">
        <f>IF(ISBLANK(D196),"",VLOOKUP(D196,ADMISSION!B:N,9,0))</f>
        <v/>
      </c>
      <c r="F196" s="187" t="str">
        <f>IF(ISBLANK(D196),"",VLOOKUP(D196,ADMISSION!B:N,10,))</f>
        <v/>
      </c>
      <c r="G196" s="192" t="str">
        <f t="shared" si="18"/>
        <v/>
      </c>
      <c r="H196" s="192" t="str">
        <f>IF(ISBLANK(D196),"",G196-SUMIF($D$1:D195,D196,$I$1:I195))</f>
        <v/>
      </c>
      <c r="J196" s="192" t="str">
        <f t="shared" si="19"/>
        <v/>
      </c>
      <c r="K196" s="195" t="str">
        <f>IF(ISBLANK(D196),"",SUMIF($D$1:D196,D196,$I$1:I196))</f>
        <v/>
      </c>
      <c r="M196" s="199" t="str">
        <f t="shared" si="15"/>
        <v xml:space="preserve"> </v>
      </c>
      <c r="N196" s="10" t="str">
        <f t="shared" ref="N196:N202" si="20">IF(OR(ISBLANK(A196),ISBLANK(D196))," ",HYPERLINK("file:///C:/Users/ADMIN/Desktop/Fee Register 2024-'25/invoice pdf/"&amp;A196&amp;"-"&amp;D196&amp;".pdf","PDF"))</f>
        <v xml:space="preserve"> </v>
      </c>
    </row>
    <row r="197" spans="1:14">
      <c r="A197" s="64">
        <v>202425195</v>
      </c>
      <c r="E197" s="187" t="str">
        <f>IF(ISBLANK(D197),"",VLOOKUP(D197,ADMISSION!B:N,9,0))</f>
        <v/>
      </c>
      <c r="F197" s="187" t="str">
        <f>IF(ISBLANK(D197),"",VLOOKUP(D197,ADMISSION!B:N,10,))</f>
        <v/>
      </c>
      <c r="G197" s="192" t="str">
        <f t="shared" si="18"/>
        <v/>
      </c>
      <c r="H197" s="192" t="str">
        <f>IF(ISBLANK(D197),"",G197-SUMIF($D$1:D196,D197,$I$1:I196))</f>
        <v/>
      </c>
      <c r="J197" s="192" t="str">
        <f t="shared" si="19"/>
        <v/>
      </c>
      <c r="K197" s="195" t="str">
        <f>IF(ISBLANK(D197),"",SUMIF($D$1:D197,D197,$I$1:I197))</f>
        <v/>
      </c>
      <c r="M197" s="199" t="str">
        <f t="shared" ref="M197:M202" si="21">IF(ISBLANK(I197)," ",M196+I197)</f>
        <v xml:space="preserve"> </v>
      </c>
      <c r="N197" s="10" t="str">
        <f t="shared" si="20"/>
        <v xml:space="preserve"> </v>
      </c>
    </row>
    <row r="198" spans="1:14">
      <c r="A198" s="64">
        <v>202425196</v>
      </c>
      <c r="E198" s="187" t="str">
        <f>IF(ISBLANK(D198),"",VLOOKUP(D198,ADMISSION!B:N,9,0))</f>
        <v/>
      </c>
      <c r="F198" s="187" t="str">
        <f>IF(ISBLANK(D198),"",VLOOKUP(D198,ADMISSION!B:N,10,))</f>
        <v/>
      </c>
      <c r="G198" s="192" t="str">
        <f t="shared" si="18"/>
        <v/>
      </c>
      <c r="H198" s="192" t="str">
        <f>IF(ISBLANK(D198),"",G198-SUMIF($D$1:D197,D198,$I$1:I197))</f>
        <v/>
      </c>
      <c r="J198" s="192" t="str">
        <f t="shared" si="19"/>
        <v/>
      </c>
      <c r="K198" s="195" t="str">
        <f>IF(ISBLANK(D198),"",SUMIF($D$1:D198,D198,$I$1:I198))</f>
        <v/>
      </c>
      <c r="M198" s="199" t="str">
        <f t="shared" si="21"/>
        <v xml:space="preserve"> </v>
      </c>
      <c r="N198" s="10" t="str">
        <f t="shared" si="20"/>
        <v xml:space="preserve"> </v>
      </c>
    </row>
    <row r="199" spans="1:14">
      <c r="A199" s="64">
        <v>202425197</v>
      </c>
      <c r="E199" s="187" t="str">
        <f>IF(ISBLANK(D199),"",VLOOKUP(D199,ADMISSION!B:N,9,0))</f>
        <v/>
      </c>
      <c r="F199" s="187" t="str">
        <f>IF(ISBLANK(D199),"",VLOOKUP(D199,ADMISSION!B:N,10,))</f>
        <v/>
      </c>
      <c r="G199" s="192" t="str">
        <f t="shared" si="18"/>
        <v/>
      </c>
      <c r="H199" s="192" t="str">
        <f>IF(ISBLANK(D199),"",G199-SUMIF($D$1:D198,D199,$I$1:I198))</f>
        <v/>
      </c>
      <c r="J199" s="192" t="str">
        <f t="shared" si="19"/>
        <v/>
      </c>
      <c r="K199" s="195" t="str">
        <f>IF(ISBLANK(D199),"",SUMIF($D$1:D199,D199,$I$1:I199))</f>
        <v/>
      </c>
      <c r="M199" s="199" t="str">
        <f t="shared" si="21"/>
        <v xml:space="preserve"> </v>
      </c>
      <c r="N199" s="10" t="str">
        <f t="shared" si="20"/>
        <v xml:space="preserve"> </v>
      </c>
    </row>
    <row r="200" spans="1:14">
      <c r="A200" s="64">
        <v>202425198</v>
      </c>
      <c r="E200" s="187" t="str">
        <f>IF(ISBLANK(D200),"",VLOOKUP(D200,ADMISSION!B:N,9,0))</f>
        <v/>
      </c>
      <c r="F200" s="187" t="str">
        <f>IF(ISBLANK(D200),"",VLOOKUP(D200,ADMISSION!B:N,10,))</f>
        <v/>
      </c>
      <c r="G200" s="192" t="str">
        <f t="shared" si="18"/>
        <v/>
      </c>
      <c r="H200" s="192" t="str">
        <f>IF(ISBLANK(D200),"",G200-SUMIF($D$1:D199,D200,$I$1:I199))</f>
        <v/>
      </c>
      <c r="J200" s="192" t="str">
        <f t="shared" si="19"/>
        <v/>
      </c>
      <c r="K200" s="195" t="str">
        <f>IF(ISBLANK(D200),"",SUMIF($D$1:D200,D200,$I$1:I200))</f>
        <v/>
      </c>
      <c r="M200" s="199" t="str">
        <f t="shared" si="21"/>
        <v xml:space="preserve"> </v>
      </c>
      <c r="N200" s="10" t="str">
        <f t="shared" si="20"/>
        <v xml:space="preserve"> </v>
      </c>
    </row>
    <row r="201" spans="1:14">
      <c r="A201" s="64">
        <v>202425199</v>
      </c>
      <c r="E201" s="187" t="str">
        <f>IF(ISBLANK(D201),"",VLOOKUP(D201,ADMISSION!B:N,9,0))</f>
        <v/>
      </c>
      <c r="F201" s="187" t="str">
        <f>IF(ISBLANK(D201),"",VLOOKUP(D201,ADMISSION!B:N,10,))</f>
        <v/>
      </c>
      <c r="G201" s="192" t="str">
        <f t="shared" si="18"/>
        <v/>
      </c>
      <c r="H201" s="192" t="str">
        <f>IF(ISBLANK(D201),"",G201-SUMIF($D$1:D200,D201,$I$1:I200))</f>
        <v/>
      </c>
      <c r="J201" s="192" t="str">
        <f t="shared" si="19"/>
        <v/>
      </c>
      <c r="K201" s="195" t="str">
        <f>IF(ISBLANK(D201),"",SUMIF($D$1:D201,D201,$I$1:I201))</f>
        <v/>
      </c>
      <c r="M201" s="199" t="str">
        <f t="shared" si="21"/>
        <v xml:space="preserve"> </v>
      </c>
      <c r="N201" s="10" t="str">
        <f t="shared" si="20"/>
        <v xml:space="preserve"> </v>
      </c>
    </row>
    <row r="202" spans="1:14" ht="15" thickBot="1">
      <c r="A202" s="64">
        <v>202425200</v>
      </c>
      <c r="D202" s="155"/>
      <c r="E202" s="187" t="str">
        <f>IF(ISBLANK(D202),"",VLOOKUP(D202,ADMISSION!B:N,9,0))</f>
        <v/>
      </c>
      <c r="F202" s="187" t="str">
        <f>IF(ISBLANK(D202),"",VLOOKUP(D202,ADMISSION!B:N,10,))</f>
        <v/>
      </c>
      <c r="G202" s="192" t="str">
        <f t="shared" si="18"/>
        <v/>
      </c>
      <c r="H202" s="192" t="str">
        <f>IF(ISBLANK(D202),"",G202-SUMIF($D$1:D201,D202,$I$1:I201))</f>
        <v/>
      </c>
      <c r="I202" s="156"/>
      <c r="J202" s="192" t="str">
        <f t="shared" si="19"/>
        <v/>
      </c>
      <c r="K202" s="195" t="str">
        <f>IF(ISBLANK(D202),"",SUMIF($D$1:D202,D202,$I$1:I202))</f>
        <v/>
      </c>
      <c r="M202" s="199" t="str">
        <f t="shared" si="21"/>
        <v xml:space="preserve"> </v>
      </c>
      <c r="N202" s="10" t="str">
        <f t="shared" si="20"/>
        <v xml:space="preserve"> </v>
      </c>
    </row>
    <row r="203" spans="1:14" ht="15" thickBot="1">
      <c r="A203" s="157"/>
      <c r="B203" s="223"/>
      <c r="C203" s="197"/>
      <c r="D203" s="62" t="s">
        <v>16</v>
      </c>
      <c r="E203" s="189"/>
      <c r="F203" s="189"/>
      <c r="G203" s="193"/>
      <c r="H203" s="193"/>
      <c r="I203" s="51">
        <f>SUBTOTAL(9,I3:I202)</f>
        <v>82750</v>
      </c>
      <c r="J203" s="193"/>
      <c r="K203" s="196"/>
    </row>
  </sheetData>
  <sheetProtection selectLockedCells="1"/>
  <phoneticPr fontId="8" type="noConversion"/>
  <conditionalFormatting sqref="J1 J3:J1048576">
    <cfRule type="cellIs" dxfId="3" priority="1" operator="greaterThan">
      <formula>0</formula>
    </cfRule>
    <cfRule type="cellIs" dxfId="2" priority="2" operator="equal">
      <formula>0</formula>
    </cfRule>
  </conditionalFormatting>
  <dataValidations disablePrompts="1" count="1">
    <dataValidation type="list" allowBlank="1" showInputMessage="1" showErrorMessage="1" sqref="L1:L1048576" xr:uid="{8387FE7C-27DA-413B-B815-D40F20C68FC8}">
      <formula1>"Online,Cash,Cheque"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I203 C4 M3:M202 N202 N3:N201" unlocked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27D86FFA-C6BD-4CBE-B2F9-24EE563C1AB9}">
          <x14:formula1>
            <xm:f>_xlfn.XLOOKUP(C4,'Student''s Detail'!$B$1:$M$1,'Student''s Detail'!$B$2:$M$28)</xm:f>
          </x14:formula1>
          <xm:sqref>D4</xm:sqref>
        </x14:dataValidation>
        <x14:dataValidation type="list" allowBlank="1" showInputMessage="1" showErrorMessage="1" xr:uid="{3B8CD973-5F26-42AE-AC05-2F1B2C710146}">
          <x14:formula1>
            <xm:f>_xlfn.XLOOKUP(C3,'Student''s Detail'!$A$1:$M$1,'Student''s Detail'!$A$2:$M$28)</xm:f>
          </x14:formula1>
          <xm:sqref>D3 D5:D6 D9:D202</xm:sqref>
        </x14:dataValidation>
        <x14:dataValidation type="list" allowBlank="1" showInputMessage="1" showErrorMessage="1" xr:uid="{4E58899B-D41F-4774-BA7B-78D7EB8E3BFE}">
          <x14:formula1>
            <xm:f>'TOTAL S&amp;FEE '!$H$3:$H$15</xm:f>
          </x14:formula1>
          <xm:sqref>C3:C202</xm:sqref>
        </x14:dataValidation>
        <x14:dataValidation type="list" allowBlank="1" showInputMessage="1" showErrorMessage="1" xr:uid="{00000000-0002-0000-0100-000002000000}">
          <x14:formula1>
            <xm:f>ADMISSION!$B$2:$B$88</xm:f>
          </x14:formula1>
          <xm:sqref>D203:D1048576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4A9C9-2ABC-49B5-B1A2-D936B3C4A24D}">
  <sheetPr codeName="Sheet3">
    <pageSetUpPr fitToPage="1"/>
  </sheetPr>
  <dimension ref="A1:R24"/>
  <sheetViews>
    <sheetView zoomScale="70" zoomScaleNormal="70" zoomScalePageLayoutView="73" workbookViewId="0">
      <selection activeCell="M9" sqref="M9"/>
    </sheetView>
  </sheetViews>
  <sheetFormatPr defaultRowHeight="14.25"/>
  <cols>
    <col min="1" max="1" width="4.875" customWidth="1"/>
    <col min="2" max="2" width="18.25" bestFit="1" customWidth="1"/>
    <col min="3" max="5" width="12.75" customWidth="1"/>
    <col min="6" max="6" width="13.375" customWidth="1"/>
    <col min="7" max="7" width="9.75" customWidth="1"/>
    <col min="8" max="8" width="15.375" customWidth="1"/>
    <col min="9" max="9" width="10.125" customWidth="1"/>
    <col min="10" max="10" width="16.875" customWidth="1"/>
    <col min="11" max="11" width="8.625" customWidth="1"/>
    <col min="12" max="12" width="6.375" customWidth="1"/>
    <col min="13" max="13" width="13.125" customWidth="1"/>
  </cols>
  <sheetData>
    <row r="1" spans="1:18" ht="15" customHeight="1" thickBot="1">
      <c r="A1" s="53"/>
      <c r="B1" s="53"/>
      <c r="C1" s="7"/>
      <c r="D1" s="7"/>
      <c r="E1" s="7"/>
      <c r="F1" s="7"/>
      <c r="G1" s="7"/>
      <c r="H1" s="7"/>
    </row>
    <row r="2" spans="1:18" ht="21.95" customHeight="1">
      <c r="A2" s="53"/>
      <c r="B2" s="242" t="s">
        <v>24</v>
      </c>
      <c r="C2" s="243"/>
      <c r="D2" s="243"/>
      <c r="E2" s="243"/>
      <c r="F2" s="243"/>
      <c r="G2" s="243"/>
      <c r="H2" s="243"/>
      <c r="I2" s="243"/>
      <c r="J2" s="244"/>
    </row>
    <row r="3" spans="1:18" ht="21.95" customHeight="1">
      <c r="A3" s="53"/>
      <c r="B3" s="245"/>
      <c r="C3" s="246"/>
      <c r="D3" s="246"/>
      <c r="E3" s="246"/>
      <c r="F3" s="246"/>
      <c r="G3" s="246"/>
      <c r="H3" s="246"/>
      <c r="I3" s="246"/>
      <c r="J3" s="247"/>
    </row>
    <row r="4" spans="1:18" ht="21.95" customHeight="1" thickBot="1">
      <c r="A4" s="6"/>
      <c r="B4" s="245"/>
      <c r="C4" s="246"/>
      <c r="D4" s="246"/>
      <c r="E4" s="246"/>
      <c r="F4" s="246"/>
      <c r="G4" s="246"/>
      <c r="H4" s="246"/>
      <c r="I4" s="246"/>
      <c r="J4" s="247"/>
    </row>
    <row r="5" spans="1:18" ht="21.95" customHeight="1" thickBot="1">
      <c r="A5" s="6"/>
      <c r="B5" s="255" t="s">
        <v>135</v>
      </c>
      <c r="C5" s="256"/>
      <c r="D5" s="256"/>
      <c r="E5" s="256"/>
      <c r="F5" s="256"/>
      <c r="G5" s="256"/>
      <c r="H5" s="256"/>
      <c r="I5" s="256"/>
      <c r="J5" s="257"/>
    </row>
    <row r="6" spans="1:18" ht="21.95" customHeight="1" thickBot="1">
      <c r="A6" s="5"/>
      <c r="B6" s="74"/>
      <c r="C6" s="17"/>
      <c r="D6" s="17"/>
      <c r="E6" s="17"/>
      <c r="F6" s="17"/>
      <c r="G6" s="17"/>
      <c r="H6" s="88" t="s">
        <v>131</v>
      </c>
      <c r="I6" s="88" t="s">
        <v>132</v>
      </c>
      <c r="J6" s="89" t="s">
        <v>16</v>
      </c>
    </row>
    <row r="7" spans="1:18" ht="21.75" customHeight="1" thickTop="1">
      <c r="A7" s="77"/>
      <c r="B7" s="236" t="s">
        <v>116</v>
      </c>
      <c r="C7" s="237"/>
      <c r="D7" s="238">
        <v>202425045</v>
      </c>
      <c r="E7" s="238"/>
      <c r="F7" s="82"/>
      <c r="G7" s="76"/>
      <c r="H7" s="85">
        <v>500</v>
      </c>
      <c r="I7" s="85">
        <v>4</v>
      </c>
      <c r="J7" s="86">
        <f>IF(OR($C$16="Online",$C$16="Cheque",ISBLANK(I7)),"-",H7*I7)</f>
        <v>2000</v>
      </c>
      <c r="K7" s="53"/>
      <c r="L7" s="7"/>
      <c r="M7" s="7"/>
      <c r="N7" s="7"/>
      <c r="O7" s="7"/>
      <c r="P7" s="7"/>
      <c r="Q7" s="7"/>
    </row>
    <row r="8" spans="1:18" ht="21.95" customHeight="1">
      <c r="B8" s="258" t="s">
        <v>12</v>
      </c>
      <c r="C8" s="259"/>
      <c r="D8" s="260">
        <f>VLOOKUP($D$7,'FEE ENTRY'!$A:$K,2,FALSE)</f>
        <v>45492</v>
      </c>
      <c r="E8" s="260"/>
      <c r="F8" s="83"/>
      <c r="G8" s="12"/>
      <c r="H8" s="75">
        <v>200</v>
      </c>
      <c r="I8" s="75"/>
      <c r="J8" s="86" t="str">
        <f t="shared" ref="J8:J12" si="0">IF(OR($C$16="Online",$C$16="Cheque",ISBLANK(I8)),"-",H8*I8)</f>
        <v>-</v>
      </c>
      <c r="K8" s="53"/>
      <c r="L8" s="54"/>
      <c r="M8" s="7"/>
      <c r="N8" s="7"/>
      <c r="O8" s="7"/>
      <c r="P8" s="7"/>
      <c r="Q8" s="7"/>
    </row>
    <row r="9" spans="1:18" ht="24" customHeight="1">
      <c r="B9" s="258" t="s">
        <v>13</v>
      </c>
      <c r="C9" s="259"/>
      <c r="D9" s="234" t="str">
        <f>VLOOKUP($D$7,'FEE ENTRY'!$A:$K,4)</f>
        <v>Prince Sanjaybhai Subedar</v>
      </c>
      <c r="E9" s="234"/>
      <c r="F9" s="234"/>
      <c r="G9" s="235"/>
      <c r="H9" s="75">
        <v>100</v>
      </c>
      <c r="I9" s="75"/>
      <c r="J9" s="86" t="str">
        <f t="shared" si="0"/>
        <v>-</v>
      </c>
      <c r="K9" s="53"/>
      <c r="L9" s="7"/>
      <c r="M9" s="231" t="str">
        <f>HYPERLINK(
    "https://api.whatsapp.com/send?phone=" &amp; D11 &amp;
    "&amp;text=" &amp; "પ્રિય માતા-પિતા%0A" &amp;
    " જમા કરાવેલ ફીની નોંધ બાબત%0A" &amp;
    "તારીખ : " &amp; TEXT(D8, "dd-mm-yyyy") &amp; "%0A" &amp;
    "રસીદ નં. : " &amp; D7 &amp; "%0A" &amp;
    "નામ : " &amp; D9 &amp; "%0A" &amp;
    "ધોરણ: " &amp; D10 &amp; "%0A" &amp;
    "જમા કરાવેલ ફી: " &amp; F14 &amp; "%0A" &amp;
    "કુલ જમા ફી: " &amp; F15 &amp; "%0A" &amp;
    "ભરવાની બાકી ફી: " &amp; F16,
    "send msg"
)</f>
        <v>send msg</v>
      </c>
      <c r="N9" s="220"/>
      <c r="O9" s="220"/>
      <c r="P9" s="220"/>
      <c r="Q9" s="218"/>
    </row>
    <row r="10" spans="1:18" ht="21.95" customHeight="1">
      <c r="B10" s="232" t="s">
        <v>14</v>
      </c>
      <c r="C10" s="233"/>
      <c r="D10" s="78" t="str">
        <f>VLOOKUP($D$7,'FEE ENTRY'!$A:$K,3)</f>
        <v>9th</v>
      </c>
      <c r="E10" s="78"/>
      <c r="F10" s="78"/>
      <c r="G10" s="15"/>
      <c r="H10" s="75">
        <v>50</v>
      </c>
      <c r="I10" s="79"/>
      <c r="J10" s="86" t="str">
        <f t="shared" si="0"/>
        <v>-</v>
      </c>
      <c r="K10" s="6"/>
      <c r="L10" s="6"/>
      <c r="M10" s="220"/>
      <c r="N10" s="220"/>
      <c r="O10" s="220"/>
      <c r="P10" s="220"/>
      <c r="Q10" s="8"/>
    </row>
    <row r="11" spans="1:18" ht="21.95" customHeight="1">
      <c r="B11" s="258" t="s">
        <v>115</v>
      </c>
      <c r="C11" s="259"/>
      <c r="D11" s="261">
        <f>VLOOKUP($D$9,ADMISSION!$B$2:$D$88,3,0)</f>
        <v>9574160929</v>
      </c>
      <c r="E11" s="261"/>
      <c r="F11" s="78"/>
      <c r="G11" s="18"/>
      <c r="H11" s="75">
        <v>20</v>
      </c>
      <c r="I11" s="79"/>
      <c r="J11" s="86" t="str">
        <f t="shared" si="0"/>
        <v>-</v>
      </c>
      <c r="K11" s="6"/>
      <c r="L11" s="6"/>
      <c r="M11" s="220"/>
      <c r="N11" s="220"/>
      <c r="O11" s="220"/>
      <c r="P11" s="220"/>
      <c r="Q11" s="219"/>
      <c r="R11" s="219"/>
    </row>
    <row r="12" spans="1:18" ht="21.95" customHeight="1">
      <c r="B12" s="239"/>
      <c r="C12" s="240"/>
      <c r="D12" s="241"/>
      <c r="E12" s="241"/>
      <c r="F12" s="84"/>
      <c r="H12" s="80">
        <v>10</v>
      </c>
      <c r="I12" s="81"/>
      <c r="J12" s="86" t="str">
        <f t="shared" si="0"/>
        <v>-</v>
      </c>
      <c r="M12" s="220"/>
      <c r="N12" s="220"/>
      <c r="O12" s="220"/>
      <c r="P12" s="220"/>
      <c r="Q12" s="5"/>
    </row>
    <row r="13" spans="1:18" ht="21.95" customHeight="1">
      <c r="B13" s="52" t="s">
        <v>15</v>
      </c>
      <c r="C13" s="65">
        <f>VLOOKUP($D$7,'FEE ENTRY'!$A:$K,5,)</f>
        <v>9500</v>
      </c>
      <c r="D13" s="249" t="s">
        <v>117</v>
      </c>
      <c r="E13" s="249"/>
      <c r="F13" s="66">
        <f>VLOOKUP($D$7,'FEE ENTRY'!$A:$K,8)</f>
        <v>9500</v>
      </c>
      <c r="I13" s="80">
        <f>SUM(I7:I12)</f>
        <v>4</v>
      </c>
      <c r="J13" s="87">
        <f>IF(C16="CASH",IF(F14=SUM(J7:J12),SUM(J7:J12),"WRONG"),"-")</f>
        <v>2000</v>
      </c>
      <c r="M13" s="220"/>
      <c r="N13" s="220"/>
      <c r="O13" s="220"/>
      <c r="P13" s="220"/>
      <c r="Q13" s="9"/>
    </row>
    <row r="14" spans="1:18" ht="21.95" customHeight="1">
      <c r="B14" s="52" t="s">
        <v>23</v>
      </c>
      <c r="C14" s="65">
        <f>VLOOKUP($D$7,'FEE ENTRY'!$A:$K,6)</f>
        <v>0</v>
      </c>
      <c r="D14" s="249" t="s">
        <v>118</v>
      </c>
      <c r="E14" s="249"/>
      <c r="F14" s="66">
        <f>VLOOKUP($D$7,'FEE ENTRY'!$A:$K,9)</f>
        <v>2000</v>
      </c>
      <c r="J14" s="2"/>
      <c r="M14" s="220"/>
      <c r="N14" s="220"/>
      <c r="O14" s="220"/>
      <c r="P14" s="220"/>
    </row>
    <row r="15" spans="1:18" ht="21.95" customHeight="1" thickBot="1">
      <c r="B15" s="52" t="s">
        <v>38</v>
      </c>
      <c r="C15" s="65">
        <f>VLOOKUP($D$7,'FEE ENTRY'!$A:$K,7)</f>
        <v>9500</v>
      </c>
      <c r="D15" s="250" t="s">
        <v>119</v>
      </c>
      <c r="E15" s="250"/>
      <c r="F15" s="67">
        <f>VLOOKUP($D$7,'FEE ENTRY'!$A:$K,11,)</f>
        <v>2000</v>
      </c>
      <c r="H15" s="19"/>
      <c r="I15" s="19"/>
      <c r="J15" s="20"/>
      <c r="M15" s="220"/>
      <c r="N15" s="220"/>
      <c r="O15" s="220"/>
      <c r="P15" s="220"/>
    </row>
    <row r="16" spans="1:18" ht="21.95" customHeight="1" thickTop="1" thickBot="1">
      <c r="B16" s="90" t="s">
        <v>158</v>
      </c>
      <c r="C16" s="91" t="str">
        <f>VLOOKUP($D$7,'FEE ENTRY'!$A:$L,12,FALSE)</f>
        <v>Cash</v>
      </c>
      <c r="D16" s="253" t="s">
        <v>120</v>
      </c>
      <c r="E16" s="254"/>
      <c r="F16" s="68">
        <f>VLOOKUP($D$7,'FEE ENTRY'!$A:$K,10,)</f>
        <v>7500</v>
      </c>
      <c r="G16" s="3"/>
      <c r="H16" s="251" t="s">
        <v>25</v>
      </c>
      <c r="I16" s="251"/>
      <c r="J16" s="252"/>
      <c r="M16" s="220"/>
      <c r="N16" s="220"/>
      <c r="O16" s="220"/>
      <c r="P16" s="220"/>
    </row>
    <row r="20" spans="4:13" ht="20.25">
      <c r="E20" s="11"/>
      <c r="F20" s="16"/>
      <c r="G20" s="16"/>
      <c r="H20" s="4"/>
      <c r="I20" s="4"/>
      <c r="J20" s="12"/>
      <c r="K20" s="13"/>
      <c r="L20" s="13"/>
      <c r="M20" s="148"/>
    </row>
    <row r="21" spans="4:13" ht="23.25">
      <c r="E21" s="14"/>
      <c r="F21" s="14"/>
      <c r="G21" s="15"/>
      <c r="H21" s="15"/>
      <c r="I21" s="15"/>
      <c r="J21" s="15"/>
      <c r="K21" s="15"/>
      <c r="L21" s="15"/>
      <c r="M21" s="15"/>
    </row>
    <row r="22" spans="4:13" ht="20.25">
      <c r="E22" s="12"/>
      <c r="F22" s="18"/>
      <c r="G22" s="18"/>
      <c r="H22" s="17"/>
      <c r="I22" s="17"/>
      <c r="J22" s="17"/>
    </row>
    <row r="23" spans="4:13">
      <c r="G23" s="248"/>
      <c r="H23" s="248"/>
    </row>
    <row r="24" spans="4:13">
      <c r="D24" cm="1">
        <f t="array" ref="D24">LOOKUP(2,1/('FEE ENTRY'!D1:D202&lt;&gt;""),'FEE ENTRY'!A:A)</f>
        <v>202425045</v>
      </c>
      <c r="E24">
        <f>INDEX('FEE ENTRY'!A:A, MATCH("zzzz", 'FEE ENTRY'!D1:D202))</f>
        <v>202425045</v>
      </c>
      <c r="F24" cm="1">
        <f t="array" aca="1" ref="F24" ca="1">INDIRECT("'fee entry'!A"&amp; COUNTA('FEE ENTRY'!D1:D202)+1)</f>
        <v>202425045</v>
      </c>
    </row>
  </sheetData>
  <mergeCells count="19">
    <mergeCell ref="B2:J4"/>
    <mergeCell ref="G23:H23"/>
    <mergeCell ref="D13:E13"/>
    <mergeCell ref="D14:E14"/>
    <mergeCell ref="D15:E15"/>
    <mergeCell ref="H16:J16"/>
    <mergeCell ref="D16:E16"/>
    <mergeCell ref="B5:J5"/>
    <mergeCell ref="B8:C8"/>
    <mergeCell ref="D8:E8"/>
    <mergeCell ref="D11:E11"/>
    <mergeCell ref="B11:C11"/>
    <mergeCell ref="B9:C9"/>
    <mergeCell ref="B10:C10"/>
    <mergeCell ref="D9:G9"/>
    <mergeCell ref="B7:C7"/>
    <mergeCell ref="D7:E7"/>
    <mergeCell ref="B12:C12"/>
    <mergeCell ref="D12:E12"/>
  </mergeCells>
  <conditionalFormatting sqref="I7:I12">
    <cfRule type="expression" dxfId="1" priority="2">
      <formula>"isblank(b2)"</formula>
    </cfRule>
  </conditionalFormatting>
  <conditionalFormatting sqref="I8:I9">
    <cfRule type="expression" dxfId="0" priority="1">
      <formula>"isblank(i8)"</formula>
    </cfRule>
  </conditionalFormatting>
  <printOptions horizontalCentered="1" verticalCentered="1"/>
  <pageMargins left="1.24" right="0" top="0.31496062992125984" bottom="0.35433070866141736" header="0" footer="0"/>
  <pageSetup paperSize="27" scale="62" orientation="landscape" r:id="rId1"/>
  <headerFooter>
    <oddHeader>&amp;C
&amp;G</oddHeader>
  </headerFooter>
  <ignoredErrors>
    <ignoredError sqref="D8" unlockedFormula="1"/>
  </ignoredError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AFA6-489F-4E70-8099-5BB930B83BE9}">
  <sheetPr codeName="Sheet5"/>
  <dimension ref="A1:O89"/>
  <sheetViews>
    <sheetView topLeftCell="A47" zoomScale="90" zoomScaleNormal="90" workbookViewId="0">
      <selection activeCell="B45" sqref="B45"/>
    </sheetView>
  </sheetViews>
  <sheetFormatPr defaultRowHeight="14.25"/>
  <cols>
    <col min="2" max="2" width="36" bestFit="1" customWidth="1"/>
    <col min="3" max="3" width="7.75" bestFit="1" customWidth="1"/>
    <col min="4" max="4" width="13" hidden="1" customWidth="1"/>
    <col min="5" max="5" width="10.125" hidden="1" customWidth="1"/>
    <col min="6" max="6" width="6.875" hidden="1" customWidth="1"/>
    <col min="7" max="7" width="29.125" hidden="1" customWidth="1"/>
    <col min="8" max="8" width="21" hidden="1" customWidth="1"/>
    <col min="9" max="9" width="19.875" hidden="1" customWidth="1"/>
    <col min="10" max="10" width="12.625" bestFit="1" customWidth="1"/>
    <col min="11" max="11" width="11.625" bestFit="1" customWidth="1"/>
    <col min="12" max="12" width="16.875" bestFit="1" customWidth="1"/>
    <col min="13" max="13" width="17.25" bestFit="1" customWidth="1"/>
    <col min="14" max="14" width="22.625" bestFit="1" customWidth="1"/>
    <col min="15" max="15" width="5" hidden="1" customWidth="1"/>
  </cols>
  <sheetData>
    <row r="1" spans="1:15" ht="19.5" thickBot="1">
      <c r="A1" s="21" t="s">
        <v>29</v>
      </c>
      <c r="B1" s="46" t="s">
        <v>34</v>
      </c>
      <c r="C1" s="22" t="s">
        <v>28</v>
      </c>
      <c r="D1" s="22" t="s">
        <v>18</v>
      </c>
      <c r="E1" s="46" t="s">
        <v>17</v>
      </c>
      <c r="F1" s="47" t="s">
        <v>31</v>
      </c>
      <c r="G1" s="48" t="s">
        <v>19</v>
      </c>
      <c r="H1" s="22" t="s">
        <v>32</v>
      </c>
      <c r="I1" s="22" t="s">
        <v>33</v>
      </c>
      <c r="J1" s="49" t="s">
        <v>30</v>
      </c>
      <c r="K1" s="49" t="s">
        <v>23</v>
      </c>
      <c r="L1" s="49" t="s">
        <v>27</v>
      </c>
      <c r="M1" s="49" t="s">
        <v>22</v>
      </c>
      <c r="N1" s="49" t="s">
        <v>26</v>
      </c>
      <c r="O1" s="45" t="s">
        <v>113</v>
      </c>
    </row>
    <row r="2" spans="1:15">
      <c r="A2" cm="1">
        <f t="array" ref="A2:O89">_xlfn._xlws.SORT(ADMISSION!A2:$O$89,15)</f>
        <v>1</v>
      </c>
      <c r="B2" t="str">
        <v>Humera Zuber Shaikh</v>
      </c>
      <c r="C2" t="str">
        <v>1st</v>
      </c>
      <c r="D2">
        <v>9898359914</v>
      </c>
      <c r="E2" t="str">
        <v>Girl</v>
      </c>
      <c r="F2">
        <v>0</v>
      </c>
      <c r="G2" t="str">
        <v>Noori Mohalla</v>
      </c>
      <c r="H2" t="str">
        <v>M.A. Meer</v>
      </c>
      <c r="I2">
        <v>0</v>
      </c>
      <c r="J2">
        <v>3000</v>
      </c>
      <c r="K2">
        <v>200</v>
      </c>
      <c r="L2">
        <v>2800</v>
      </c>
      <c r="M2">
        <v>0</v>
      </c>
      <c r="N2">
        <v>2800</v>
      </c>
      <c r="O2">
        <v>1</v>
      </c>
    </row>
    <row r="3" spans="1:15">
      <c r="A3">
        <v>2</v>
      </c>
      <c r="B3" t="str">
        <v>Mo.Ali Jafar Shaikh</v>
      </c>
      <c r="C3" t="str">
        <v>1st</v>
      </c>
      <c r="D3">
        <v>7405182928</v>
      </c>
      <c r="E3" t="str">
        <v>Boy</v>
      </c>
      <c r="F3">
        <v>0</v>
      </c>
      <c r="G3" t="str">
        <v>146, Nasir Nagar</v>
      </c>
      <c r="H3" t="str">
        <v>Anglo</v>
      </c>
      <c r="I3">
        <v>0</v>
      </c>
      <c r="J3">
        <v>3000</v>
      </c>
      <c r="K3">
        <v>0</v>
      </c>
      <c r="L3">
        <v>3000</v>
      </c>
      <c r="M3">
        <v>0</v>
      </c>
      <c r="N3">
        <v>3000</v>
      </c>
      <c r="O3">
        <v>1</v>
      </c>
    </row>
    <row r="4" spans="1:15">
      <c r="A4">
        <v>55</v>
      </c>
      <c r="B4" t="str">
        <v>Inaya Mohammad Azam Khan</v>
      </c>
      <c r="C4" t="str">
        <v>1st</v>
      </c>
      <c r="D4">
        <v>9727997744</v>
      </c>
      <c r="E4" t="str">
        <v>Girl</v>
      </c>
      <c r="F4">
        <v>45473</v>
      </c>
      <c r="G4" t="str">
        <v>501, mohammad palace, tuki sheri, rampura</v>
      </c>
      <c r="H4" t="str">
        <v>b.l.jariwala</v>
      </c>
      <c r="I4">
        <v>0</v>
      </c>
      <c r="J4">
        <v>3000</v>
      </c>
      <c r="K4">
        <v>200</v>
      </c>
      <c r="L4">
        <v>2800</v>
      </c>
      <c r="M4">
        <v>500</v>
      </c>
      <c r="N4">
        <v>2300</v>
      </c>
      <c r="O4">
        <v>1</v>
      </c>
    </row>
    <row r="5" spans="1:15">
      <c r="A5">
        <v>62</v>
      </c>
      <c r="B5" t="str">
        <v>Mohammad Mahir Zahir Multani</v>
      </c>
      <c r="C5" t="str">
        <v>1st</v>
      </c>
      <c r="D5">
        <v>9727273030</v>
      </c>
      <c r="E5" t="str">
        <v>Boy</v>
      </c>
      <c r="F5">
        <v>45483</v>
      </c>
      <c r="G5" t="str">
        <v>7/4042, Laldarwaja surat</v>
      </c>
      <c r="H5" t="str">
        <v>M.A. Meer</v>
      </c>
      <c r="I5">
        <v>82.88</v>
      </c>
      <c r="J5">
        <v>3000</v>
      </c>
      <c r="K5">
        <v>0</v>
      </c>
      <c r="L5">
        <v>3000</v>
      </c>
      <c r="M5">
        <v>1500</v>
      </c>
      <c r="N5">
        <v>1500</v>
      </c>
      <c r="O5">
        <v>1</v>
      </c>
    </row>
    <row r="6" spans="1:15">
      <c r="A6">
        <v>3</v>
      </c>
      <c r="B6" t="str">
        <v>Ayan Gaffarbhai Selot</v>
      </c>
      <c r="C6" t="str">
        <v>3rd</v>
      </c>
      <c r="D6">
        <v>9428692168</v>
      </c>
      <c r="E6" t="str">
        <v>Boy</v>
      </c>
      <c r="F6">
        <v>0</v>
      </c>
      <c r="G6" t="str">
        <v>Ajaz Umarji Appt.</v>
      </c>
      <c r="H6" t="str">
        <v>M.A. Meer</v>
      </c>
      <c r="I6">
        <v>0</v>
      </c>
      <c r="J6">
        <v>4000</v>
      </c>
      <c r="K6">
        <v>0</v>
      </c>
      <c r="L6">
        <v>4000</v>
      </c>
      <c r="M6">
        <v>1000</v>
      </c>
      <c r="N6">
        <v>3000</v>
      </c>
      <c r="O6">
        <v>3</v>
      </c>
    </row>
    <row r="7" spans="1:15">
      <c r="A7">
        <v>4</v>
      </c>
      <c r="B7" t="str">
        <v>Komal Vijaybhai Bhavekar</v>
      </c>
      <c r="C7" t="str">
        <v>3rd</v>
      </c>
      <c r="D7">
        <v>9723326757</v>
      </c>
      <c r="E7" t="str">
        <v>Girl</v>
      </c>
      <c r="F7">
        <v>0</v>
      </c>
      <c r="G7" t="str">
        <v>7/973,Kajipura</v>
      </c>
      <c r="H7" t="str">
        <v>Mahidharpura Arban</v>
      </c>
      <c r="I7">
        <v>0</v>
      </c>
      <c r="J7">
        <v>4000</v>
      </c>
      <c r="K7">
        <v>300</v>
      </c>
      <c r="L7">
        <v>3700</v>
      </c>
      <c r="M7">
        <v>0</v>
      </c>
      <c r="N7">
        <v>3700</v>
      </c>
      <c r="O7">
        <v>3</v>
      </c>
    </row>
    <row r="8" spans="1:15">
      <c r="A8">
        <v>56</v>
      </c>
      <c r="B8" t="str">
        <v>Alimabanu Mohammad Azam Khan</v>
      </c>
      <c r="C8" t="str">
        <v>3rd</v>
      </c>
      <c r="D8">
        <v>9727997744</v>
      </c>
      <c r="E8" t="str">
        <v>Girl</v>
      </c>
      <c r="F8">
        <v>45473</v>
      </c>
      <c r="G8" t="str">
        <v>501, mohammad palace, tuki sheri, rampura</v>
      </c>
      <c r="H8" t="str">
        <v>b.l.jariwala</v>
      </c>
      <c r="I8">
        <v>90</v>
      </c>
      <c r="J8">
        <v>4000</v>
      </c>
      <c r="K8">
        <v>300</v>
      </c>
      <c r="L8">
        <v>3700</v>
      </c>
      <c r="M8">
        <v>500</v>
      </c>
      <c r="N8">
        <v>3200</v>
      </c>
      <c r="O8">
        <v>3</v>
      </c>
    </row>
    <row r="9" spans="1:15">
      <c r="A9">
        <v>5</v>
      </c>
      <c r="B9" t="str">
        <v>Parvez Aspak Mandaviya</v>
      </c>
      <c r="C9" t="str">
        <v>4th</v>
      </c>
      <c r="D9">
        <v>6356106909</v>
      </c>
      <c r="E9" t="str">
        <v>Boy</v>
      </c>
      <c r="F9">
        <v>0</v>
      </c>
      <c r="G9" t="str">
        <v>Al Karam Appt.</v>
      </c>
      <c r="H9" t="str">
        <v>Hodi Bangla</v>
      </c>
      <c r="I9">
        <v>0</v>
      </c>
      <c r="J9">
        <v>4500</v>
      </c>
      <c r="K9">
        <v>0</v>
      </c>
      <c r="L9">
        <v>4500</v>
      </c>
      <c r="M9">
        <v>1000</v>
      </c>
      <c r="N9">
        <v>3500</v>
      </c>
      <c r="O9">
        <v>4</v>
      </c>
    </row>
    <row r="10" spans="1:15">
      <c r="A10">
        <v>6</v>
      </c>
      <c r="B10" t="str">
        <v>Mo.Abdan Shakil Mansuri</v>
      </c>
      <c r="C10" t="str">
        <v>4th</v>
      </c>
      <c r="D10">
        <v>8401255492</v>
      </c>
      <c r="E10" t="str">
        <v>Boy</v>
      </c>
      <c r="F10">
        <v>0</v>
      </c>
      <c r="G10" t="str">
        <v>7/821, Noori Mohalla</v>
      </c>
      <c r="H10" t="str">
        <v>M.A. Meer</v>
      </c>
      <c r="I10">
        <v>0</v>
      </c>
      <c r="J10">
        <v>4500</v>
      </c>
      <c r="K10">
        <v>0</v>
      </c>
      <c r="L10">
        <v>4500</v>
      </c>
      <c r="M10">
        <v>500</v>
      </c>
      <c r="N10">
        <v>4000</v>
      </c>
      <c r="O10">
        <v>4</v>
      </c>
    </row>
    <row r="11" spans="1:15">
      <c r="A11">
        <v>7</v>
      </c>
      <c r="B11" t="str">
        <v>Fayeza Banu Naim Shaikh</v>
      </c>
      <c r="C11" t="str">
        <v>4th</v>
      </c>
      <c r="D11">
        <v>9974633556</v>
      </c>
      <c r="E11" t="str">
        <v>Girl</v>
      </c>
      <c r="F11">
        <v>0</v>
      </c>
      <c r="G11" t="str">
        <v>148,Nasir Nagar</v>
      </c>
      <c r="H11" t="str">
        <v>Ambaba</v>
      </c>
      <c r="I11">
        <v>0</v>
      </c>
      <c r="J11">
        <v>4500</v>
      </c>
      <c r="K11">
        <v>300</v>
      </c>
      <c r="L11">
        <v>4200</v>
      </c>
      <c r="M11">
        <v>1000</v>
      </c>
      <c r="N11">
        <v>3200</v>
      </c>
      <c r="O11">
        <v>4</v>
      </c>
    </row>
    <row r="12" spans="1:15">
      <c r="A12">
        <v>51</v>
      </c>
      <c r="B12" t="str">
        <v>Aahil abidbhai kureshi</v>
      </c>
      <c r="C12" t="str">
        <v>4th</v>
      </c>
      <c r="D12">
        <v>7874789242</v>
      </c>
      <c r="E12" t="str">
        <v>Boy</v>
      </c>
      <c r="F12">
        <v>45469</v>
      </c>
      <c r="G12" t="str">
        <v>1-floor, gurudev apparment, noori mahhalo</v>
      </c>
      <c r="H12" t="str">
        <v>shree sanjivkumar</v>
      </c>
      <c r="I12">
        <v>0</v>
      </c>
      <c r="J12">
        <v>4500</v>
      </c>
      <c r="K12">
        <v>0</v>
      </c>
      <c r="L12">
        <v>4500</v>
      </c>
      <c r="M12">
        <v>1000</v>
      </c>
      <c r="N12">
        <v>3500</v>
      </c>
      <c r="O12">
        <v>4</v>
      </c>
    </row>
    <row r="13" spans="1:15">
      <c r="A13">
        <v>8</v>
      </c>
      <c r="B13" t="str">
        <v>Mariyam Banu Mo.Juned Fanibandha</v>
      </c>
      <c r="C13" t="str">
        <v>5th</v>
      </c>
      <c r="D13">
        <v>9722252422</v>
      </c>
      <c r="E13" t="str">
        <v>Girl</v>
      </c>
      <c r="F13">
        <v>0</v>
      </c>
      <c r="G13" t="str">
        <v>Noori Mohalla</v>
      </c>
      <c r="H13" t="str">
        <v>M.A. Meer</v>
      </c>
      <c r="I13">
        <v>0</v>
      </c>
      <c r="J13">
        <v>5000</v>
      </c>
      <c r="K13">
        <v>300</v>
      </c>
      <c r="L13">
        <v>4700</v>
      </c>
      <c r="M13">
        <v>0</v>
      </c>
      <c r="N13">
        <v>4700</v>
      </c>
      <c r="O13">
        <v>5</v>
      </c>
    </row>
    <row r="14" spans="1:15">
      <c r="A14">
        <v>9</v>
      </c>
      <c r="B14" t="str">
        <v>Heena Vijaybhai Bhavekar</v>
      </c>
      <c r="C14" t="str">
        <v>5th</v>
      </c>
      <c r="D14">
        <v>9723326757</v>
      </c>
      <c r="E14" t="str">
        <v>Girl</v>
      </c>
      <c r="F14">
        <v>0</v>
      </c>
      <c r="G14" t="str">
        <v>7/973,Kajipura</v>
      </c>
      <c r="H14" t="str">
        <v>Mahidharpura Arban</v>
      </c>
      <c r="I14">
        <v>0</v>
      </c>
      <c r="J14">
        <v>5000</v>
      </c>
      <c r="K14">
        <v>300</v>
      </c>
      <c r="L14">
        <v>4700</v>
      </c>
      <c r="M14">
        <v>0</v>
      </c>
      <c r="N14">
        <v>4700</v>
      </c>
      <c r="O14">
        <v>5</v>
      </c>
    </row>
    <row r="15" spans="1:15">
      <c r="A15">
        <v>10</v>
      </c>
      <c r="B15" t="str">
        <v>Mo.Umar Jafar Shaikh</v>
      </c>
      <c r="C15" t="str">
        <v>5th</v>
      </c>
      <c r="D15">
        <v>7405182928</v>
      </c>
      <c r="E15" t="str">
        <v>Boy</v>
      </c>
      <c r="F15">
        <v>0</v>
      </c>
      <c r="G15" t="str">
        <v>146, Nasir Nagar</v>
      </c>
      <c r="H15" t="str">
        <v>M.A. Meer</v>
      </c>
      <c r="I15">
        <v>0</v>
      </c>
      <c r="J15">
        <v>5000</v>
      </c>
      <c r="K15">
        <v>0</v>
      </c>
      <c r="L15">
        <v>5000</v>
      </c>
      <c r="M15">
        <v>0</v>
      </c>
      <c r="N15">
        <v>5000</v>
      </c>
      <c r="O15">
        <v>5</v>
      </c>
    </row>
    <row r="16" spans="1:15">
      <c r="A16">
        <v>11</v>
      </c>
      <c r="B16" t="str">
        <v>Saima Mujehit Shiekh</v>
      </c>
      <c r="C16" t="str">
        <v>5th</v>
      </c>
      <c r="D16">
        <v>8758555925</v>
      </c>
      <c r="E16" t="str">
        <v>Girl</v>
      </c>
      <c r="F16">
        <v>0</v>
      </c>
      <c r="G16" t="str">
        <v>Embassy Hotel,Lal Darwaja</v>
      </c>
      <c r="H16" t="str">
        <v>Mahidharpura Arban</v>
      </c>
      <c r="I16">
        <v>0</v>
      </c>
      <c r="J16">
        <v>5000</v>
      </c>
      <c r="K16">
        <v>300</v>
      </c>
      <c r="L16">
        <v>4700</v>
      </c>
      <c r="M16">
        <v>700</v>
      </c>
      <c r="N16">
        <v>4000</v>
      </c>
      <c r="O16">
        <v>5</v>
      </c>
    </row>
    <row r="17" spans="1:15">
      <c r="A17">
        <v>12</v>
      </c>
      <c r="B17" t="str">
        <v>Mo.Sahezan Yusufbhai Kureshi</v>
      </c>
      <c r="C17" t="str">
        <v>6th</v>
      </c>
      <c r="D17">
        <v>7984122443</v>
      </c>
      <c r="E17" t="str">
        <v>Boy</v>
      </c>
      <c r="F17">
        <v>0</v>
      </c>
      <c r="G17" t="str">
        <v>Bag E Mohammad Appt.</v>
      </c>
      <c r="H17" t="str">
        <v>T.&amp;T.V.</v>
      </c>
      <c r="I17">
        <v>0</v>
      </c>
      <c r="J17">
        <v>6000</v>
      </c>
      <c r="K17">
        <v>0</v>
      </c>
      <c r="L17">
        <v>6000</v>
      </c>
      <c r="M17">
        <v>1500</v>
      </c>
      <c r="N17">
        <v>4500</v>
      </c>
      <c r="O17">
        <v>6</v>
      </c>
    </row>
    <row r="18" spans="1:15">
      <c r="A18">
        <v>13</v>
      </c>
      <c r="B18" t="str">
        <v>Maliha Banu Mo.Juned Fanibandha</v>
      </c>
      <c r="C18" t="str">
        <v>6th</v>
      </c>
      <c r="D18">
        <v>9722252422</v>
      </c>
      <c r="E18" t="str">
        <v>Girl</v>
      </c>
      <c r="F18">
        <v>0</v>
      </c>
      <c r="G18" t="str">
        <v>Noori Mohalla</v>
      </c>
      <c r="H18" t="str">
        <v>M.A. Meer</v>
      </c>
      <c r="I18">
        <v>0</v>
      </c>
      <c r="J18">
        <v>6000</v>
      </c>
      <c r="K18">
        <v>400</v>
      </c>
      <c r="L18">
        <v>5600</v>
      </c>
      <c r="M18">
        <v>0</v>
      </c>
      <c r="N18">
        <v>5600</v>
      </c>
      <c r="O18">
        <v>6</v>
      </c>
    </row>
    <row r="19" spans="1:15">
      <c r="A19">
        <v>14</v>
      </c>
      <c r="B19" t="str">
        <v>Kinjal Vujaybhai Bhavekar</v>
      </c>
      <c r="C19" t="str">
        <v>6th</v>
      </c>
      <c r="D19">
        <v>9723326757</v>
      </c>
      <c r="E19" t="str">
        <v>Girl</v>
      </c>
      <c r="F19">
        <v>0</v>
      </c>
      <c r="G19" t="str">
        <v>7/973,Kajipura</v>
      </c>
      <c r="H19" t="str">
        <v>Mahidharpura Arban</v>
      </c>
      <c r="I19">
        <v>0</v>
      </c>
      <c r="J19">
        <v>6000</v>
      </c>
      <c r="K19">
        <v>400</v>
      </c>
      <c r="L19">
        <v>5600</v>
      </c>
      <c r="M19">
        <v>0</v>
      </c>
      <c r="N19">
        <v>5600</v>
      </c>
      <c r="O19">
        <v>6</v>
      </c>
    </row>
    <row r="20" spans="1:15">
      <c r="A20">
        <v>15</v>
      </c>
      <c r="B20" t="str">
        <v>Ankit Sanmukhbhai Solanki</v>
      </c>
      <c r="C20" t="str">
        <v>6th</v>
      </c>
      <c r="D20">
        <v>9510095137</v>
      </c>
      <c r="E20" t="str">
        <v>Boy</v>
      </c>
      <c r="F20">
        <v>0</v>
      </c>
      <c r="G20" t="str">
        <v>7/1133, Kankarya Mohalla</v>
      </c>
      <c r="H20" t="str">
        <v>Jar Ardeshar Chinivala</v>
      </c>
      <c r="I20">
        <v>0</v>
      </c>
      <c r="J20">
        <v>6000</v>
      </c>
      <c r="K20">
        <v>0</v>
      </c>
      <c r="L20">
        <v>6000</v>
      </c>
      <c r="M20">
        <v>1000</v>
      </c>
      <c r="N20">
        <v>5000</v>
      </c>
      <c r="O20">
        <v>6</v>
      </c>
    </row>
    <row r="21" spans="1:15">
      <c r="A21">
        <v>16</v>
      </c>
      <c r="B21" t="str">
        <v>Shahid Zuber Shaikh</v>
      </c>
      <c r="C21" t="str">
        <v>6th</v>
      </c>
      <c r="D21">
        <v>9898359914</v>
      </c>
      <c r="E21" t="str">
        <v>Boy</v>
      </c>
      <c r="F21">
        <v>0</v>
      </c>
      <c r="G21" t="str">
        <v>Noori Mohalla</v>
      </c>
      <c r="H21" t="str">
        <v>M.A. Meer</v>
      </c>
      <c r="I21">
        <v>0</v>
      </c>
      <c r="J21">
        <v>6000</v>
      </c>
      <c r="K21">
        <v>0</v>
      </c>
      <c r="L21">
        <v>6000</v>
      </c>
      <c r="M21">
        <v>0</v>
      </c>
      <c r="N21">
        <v>6000</v>
      </c>
      <c r="O21">
        <v>6</v>
      </c>
    </row>
    <row r="22" spans="1:15">
      <c r="A22">
        <v>17</v>
      </c>
      <c r="B22" t="str">
        <v>Nafiskhan Iqbalkhan Pathan</v>
      </c>
      <c r="C22" t="str">
        <v>7th</v>
      </c>
      <c r="D22">
        <v>7778996255</v>
      </c>
      <c r="E22" t="str">
        <v>Boy</v>
      </c>
      <c r="F22">
        <v>0</v>
      </c>
      <c r="G22" t="str">
        <v>Hodi Bangla</v>
      </c>
      <c r="H22" t="str">
        <v>M.A. Meer</v>
      </c>
      <c r="I22">
        <v>0</v>
      </c>
      <c r="J22">
        <v>7000</v>
      </c>
      <c r="K22">
        <v>0</v>
      </c>
      <c r="L22">
        <v>7000</v>
      </c>
      <c r="M22">
        <v>1500</v>
      </c>
      <c r="N22">
        <v>5500</v>
      </c>
      <c r="O22">
        <v>7</v>
      </c>
    </row>
    <row r="23" spans="1:15">
      <c r="A23">
        <v>18</v>
      </c>
      <c r="B23" t="str">
        <v>Firdos Banu Abdul Naim Shaikh</v>
      </c>
      <c r="C23" t="str">
        <v>7th</v>
      </c>
      <c r="D23">
        <v>9974633556</v>
      </c>
      <c r="E23" t="str">
        <v>Girl</v>
      </c>
      <c r="F23">
        <v>0</v>
      </c>
      <c r="G23" t="str">
        <v>148,Nasir Nagar</v>
      </c>
      <c r="H23" t="str">
        <v>Anglo</v>
      </c>
      <c r="I23">
        <v>0</v>
      </c>
      <c r="J23">
        <v>7000</v>
      </c>
      <c r="K23">
        <v>400</v>
      </c>
      <c r="L23">
        <v>6600</v>
      </c>
      <c r="M23">
        <v>1000</v>
      </c>
      <c r="N23">
        <v>5600</v>
      </c>
      <c r="O23">
        <v>7</v>
      </c>
    </row>
    <row r="24" spans="1:15">
      <c r="A24">
        <v>19</v>
      </c>
      <c r="B24" t="str">
        <v>Mohammed Fahad Mo.Iqbal Pittalwala</v>
      </c>
      <c r="C24" t="str">
        <v>7th</v>
      </c>
      <c r="D24">
        <v>7600768059</v>
      </c>
      <c r="E24" t="str">
        <v>Boy</v>
      </c>
      <c r="F24">
        <v>0</v>
      </c>
      <c r="G24" t="str">
        <v>7/2288-89,Noori Mohalla</v>
      </c>
      <c r="H24" t="str">
        <v>Mujaddid Alfesani</v>
      </c>
      <c r="I24">
        <v>0</v>
      </c>
      <c r="J24">
        <v>7000</v>
      </c>
      <c r="K24">
        <v>0</v>
      </c>
      <c r="L24">
        <v>7000</v>
      </c>
      <c r="M24">
        <v>1500</v>
      </c>
      <c r="N24">
        <v>5500</v>
      </c>
      <c r="O24">
        <v>7</v>
      </c>
    </row>
    <row r="25" spans="1:15">
      <c r="A25">
        <v>20</v>
      </c>
      <c r="B25" t="str">
        <v>Adnan Zuber Shaikh</v>
      </c>
      <c r="C25" t="str">
        <v>7th</v>
      </c>
      <c r="D25">
        <v>9898359914</v>
      </c>
      <c r="E25" t="str">
        <v>Boy</v>
      </c>
      <c r="F25">
        <v>0</v>
      </c>
      <c r="G25" t="str">
        <v>Noori Mohalla</v>
      </c>
      <c r="H25" t="str">
        <v>M.A. Meer</v>
      </c>
      <c r="I25">
        <v>0</v>
      </c>
      <c r="J25">
        <v>7000</v>
      </c>
      <c r="K25">
        <v>0</v>
      </c>
      <c r="L25">
        <v>7000</v>
      </c>
      <c r="M25">
        <v>0</v>
      </c>
      <c r="N25">
        <v>7000</v>
      </c>
      <c r="O25">
        <v>7</v>
      </c>
    </row>
    <row r="26" spans="1:15">
      <c r="A26">
        <v>59</v>
      </c>
      <c r="B26" t="str">
        <v>Ujefa Yasinbhai Selot</v>
      </c>
      <c r="C26" t="str">
        <v>7th</v>
      </c>
      <c r="D26">
        <v>8141425975</v>
      </c>
      <c r="E26" t="str">
        <v>Boy</v>
      </c>
      <c r="F26">
        <v>45482</v>
      </c>
      <c r="G26" t="str">
        <v>Noori Mohalla</v>
      </c>
      <c r="H26" t="str">
        <v>Dr. Amichand shah</v>
      </c>
      <c r="I26">
        <v>0</v>
      </c>
      <c r="J26">
        <v>7000</v>
      </c>
      <c r="K26">
        <v>0</v>
      </c>
      <c r="L26">
        <v>7000</v>
      </c>
      <c r="M26">
        <v>2000</v>
      </c>
      <c r="N26">
        <v>5000</v>
      </c>
      <c r="O26">
        <v>7</v>
      </c>
    </row>
    <row r="27" spans="1:15">
      <c r="A27">
        <v>60</v>
      </c>
      <c r="B27" t="str">
        <v>Samir Rahimbhai Mahetar</v>
      </c>
      <c r="C27" t="str">
        <v>7th</v>
      </c>
      <c r="D27">
        <v>9265362134</v>
      </c>
      <c r="E27" t="str">
        <v>Boy</v>
      </c>
      <c r="F27">
        <v>45482</v>
      </c>
      <c r="G27" t="str">
        <v>Kadiya sheri Rampura</v>
      </c>
      <c r="H27" t="str">
        <v>Dr. Amichand shah</v>
      </c>
      <c r="I27">
        <v>0</v>
      </c>
      <c r="J27">
        <v>7000</v>
      </c>
      <c r="K27">
        <v>0</v>
      </c>
      <c r="L27">
        <v>7000</v>
      </c>
      <c r="M27">
        <v>1000</v>
      </c>
      <c r="N27">
        <v>6000</v>
      </c>
      <c r="O27">
        <v>7</v>
      </c>
    </row>
    <row r="28" spans="1:15">
      <c r="A28">
        <v>21</v>
      </c>
      <c r="B28" t="str">
        <v>Farhan Akhtar Yusufbhai Kureshi</v>
      </c>
      <c r="C28" t="str">
        <v>8th</v>
      </c>
      <c r="D28">
        <v>7984122443</v>
      </c>
      <c r="E28" t="str">
        <v>Boy</v>
      </c>
      <c r="F28">
        <v>0</v>
      </c>
      <c r="G28" t="str">
        <v>Bag E Mohammad Appt.</v>
      </c>
      <c r="H28" t="str">
        <v>T.&amp;T.V.</v>
      </c>
      <c r="I28">
        <v>0</v>
      </c>
      <c r="J28">
        <v>8000</v>
      </c>
      <c r="K28">
        <v>0</v>
      </c>
      <c r="L28">
        <v>8000</v>
      </c>
      <c r="M28">
        <v>1500</v>
      </c>
      <c r="N28">
        <v>6500</v>
      </c>
      <c r="O28">
        <v>8</v>
      </c>
    </row>
    <row r="29" spans="1:15">
      <c r="A29">
        <v>22</v>
      </c>
      <c r="B29" t="str">
        <v>Aaisha Begam Aabidali Saiyed</v>
      </c>
      <c r="C29" t="str">
        <v>8th</v>
      </c>
      <c r="D29">
        <v>7046110654</v>
      </c>
      <c r="E29" t="str">
        <v>Girl</v>
      </c>
      <c r="F29">
        <v>0</v>
      </c>
      <c r="G29" t="str">
        <v>204,Asma Manzil, Lokhat</v>
      </c>
      <c r="H29" t="str">
        <v>M.A. Meer</v>
      </c>
      <c r="I29">
        <v>0</v>
      </c>
      <c r="J29">
        <v>8000</v>
      </c>
      <c r="K29">
        <v>500</v>
      </c>
      <c r="L29">
        <v>7500</v>
      </c>
      <c r="M29">
        <v>1000</v>
      </c>
      <c r="N29">
        <v>6500</v>
      </c>
      <c r="O29">
        <v>8</v>
      </c>
    </row>
    <row r="30" spans="1:15">
      <c r="A30">
        <v>23</v>
      </c>
      <c r="B30" t="str">
        <v>Tanishka Vijaybhai Bhavekar</v>
      </c>
      <c r="C30" t="str">
        <v>8th</v>
      </c>
      <c r="D30">
        <v>9723326757</v>
      </c>
      <c r="E30" t="str">
        <v>Girl</v>
      </c>
      <c r="F30">
        <v>0</v>
      </c>
      <c r="G30" t="str">
        <v>7/973,Kajipura</v>
      </c>
      <c r="H30" t="str">
        <v>Mahidharpura Arban</v>
      </c>
      <c r="I30">
        <v>0</v>
      </c>
      <c r="J30">
        <v>8000</v>
      </c>
      <c r="K30">
        <v>500</v>
      </c>
      <c r="L30">
        <v>7500</v>
      </c>
      <c r="M30">
        <v>0</v>
      </c>
      <c r="N30">
        <v>7500</v>
      </c>
      <c r="O30">
        <v>8</v>
      </c>
    </row>
    <row r="31" spans="1:15">
      <c r="A31">
        <v>24</v>
      </c>
      <c r="B31" t="str">
        <v>Aatif Aiyub Choksi</v>
      </c>
      <c r="C31" t="str">
        <v>8th</v>
      </c>
      <c r="D31">
        <v>7861848761</v>
      </c>
      <c r="E31" t="str">
        <v>Boy</v>
      </c>
      <c r="F31">
        <v>0</v>
      </c>
      <c r="G31" t="str">
        <v>Ajmeri Park Savera Appt.</v>
      </c>
      <c r="H31" t="str">
        <v>Anglo</v>
      </c>
      <c r="I31">
        <v>0</v>
      </c>
      <c r="J31">
        <v>8000</v>
      </c>
      <c r="K31">
        <v>0</v>
      </c>
      <c r="L31">
        <v>8000</v>
      </c>
      <c r="M31">
        <v>2000</v>
      </c>
      <c r="N31">
        <v>6000</v>
      </c>
      <c r="O31">
        <v>8</v>
      </c>
    </row>
    <row r="32" spans="1:15">
      <c r="A32">
        <v>25</v>
      </c>
      <c r="B32" t="str">
        <v>Juvariyyah Ilyas Patel</v>
      </c>
      <c r="C32" t="str">
        <v>8th</v>
      </c>
      <c r="D32">
        <v>9558776923</v>
      </c>
      <c r="E32" t="str">
        <v>Girl</v>
      </c>
      <c r="F32">
        <v>0</v>
      </c>
      <c r="G32" t="str">
        <v>201, Gujarat Mension</v>
      </c>
      <c r="H32" t="str">
        <v>M.A. Meer</v>
      </c>
      <c r="I32">
        <v>0</v>
      </c>
      <c r="J32">
        <v>8000</v>
      </c>
      <c r="K32">
        <v>500</v>
      </c>
      <c r="L32">
        <v>7500</v>
      </c>
      <c r="M32">
        <v>2000</v>
      </c>
      <c r="N32">
        <v>5500</v>
      </c>
      <c r="O32">
        <v>8</v>
      </c>
    </row>
    <row r="33" spans="1:15">
      <c r="A33">
        <v>54</v>
      </c>
      <c r="B33" t="str">
        <v>Hajra Faiz mohammad Chichi</v>
      </c>
      <c r="C33" t="str">
        <v>8th</v>
      </c>
      <c r="D33">
        <v>9879116420</v>
      </c>
      <c r="E33" t="str">
        <v>Girl</v>
      </c>
      <c r="F33">
        <v>45471</v>
      </c>
      <c r="G33" t="str">
        <v>12/881, marhaba building, rani taluo, khatkiwad</v>
      </c>
      <c r="H33" t="str">
        <v>P.M patel</v>
      </c>
      <c r="I33">
        <v>0</v>
      </c>
      <c r="J33">
        <v>8000</v>
      </c>
      <c r="K33">
        <v>500</v>
      </c>
      <c r="L33">
        <v>7500</v>
      </c>
      <c r="M33">
        <v>2000</v>
      </c>
      <c r="N33">
        <v>5500</v>
      </c>
      <c r="O33">
        <v>8</v>
      </c>
    </row>
    <row r="34" spans="1:15">
      <c r="A34">
        <v>58</v>
      </c>
      <c r="B34" t="str">
        <v xml:space="preserve">Mo. Nawaz mo. Irfan Shaikh </v>
      </c>
      <c r="C34" t="str">
        <v>8th</v>
      </c>
      <c r="D34">
        <v>7041818259</v>
      </c>
      <c r="E34" t="str">
        <v>Boy</v>
      </c>
      <c r="F34">
        <v>45482</v>
      </c>
      <c r="G34" t="str">
        <v>7/855, Rampura noori mahollo</v>
      </c>
      <c r="H34" t="str">
        <v>Aglo</v>
      </c>
      <c r="I34">
        <v>78.75</v>
      </c>
      <c r="J34">
        <v>8000</v>
      </c>
      <c r="K34">
        <v>0</v>
      </c>
      <c r="L34">
        <v>8000</v>
      </c>
      <c r="M34">
        <v>1000</v>
      </c>
      <c r="N34">
        <v>7000</v>
      </c>
      <c r="O34">
        <v>8</v>
      </c>
    </row>
    <row r="35" spans="1:15">
      <c r="A35">
        <v>26</v>
      </c>
      <c r="B35" t="str">
        <v>Ilshabanu Yusuf Ahmad Khan</v>
      </c>
      <c r="C35" t="str">
        <v>9th</v>
      </c>
      <c r="D35">
        <v>9998712399</v>
      </c>
      <c r="E35" t="str">
        <v>Girl</v>
      </c>
      <c r="F35">
        <v>0</v>
      </c>
      <c r="G35" t="str">
        <v>Pastagiya Sheri</v>
      </c>
      <c r="H35" t="str">
        <v>M.A. Meer</v>
      </c>
      <c r="I35">
        <v>0</v>
      </c>
      <c r="J35">
        <v>9500</v>
      </c>
      <c r="K35">
        <v>500</v>
      </c>
      <c r="L35">
        <v>9000</v>
      </c>
      <c r="M35">
        <v>2000</v>
      </c>
      <c r="N35">
        <v>7000</v>
      </c>
      <c r="O35">
        <v>9</v>
      </c>
    </row>
    <row r="36" spans="1:15">
      <c r="A36">
        <v>27</v>
      </c>
      <c r="B36" t="str">
        <v>Mahenoor Raufbhai Dhariwala</v>
      </c>
      <c r="C36" t="str">
        <v>9th</v>
      </c>
      <c r="D36">
        <v>9998554482</v>
      </c>
      <c r="E36" t="str">
        <v>Girl</v>
      </c>
      <c r="F36">
        <v>0</v>
      </c>
      <c r="G36" t="str">
        <v>303,Sohel Palace</v>
      </c>
      <c r="H36" t="str">
        <v>Anglo</v>
      </c>
      <c r="I36">
        <v>0</v>
      </c>
      <c r="J36">
        <v>9500</v>
      </c>
      <c r="K36">
        <v>500</v>
      </c>
      <c r="L36">
        <v>9000</v>
      </c>
      <c r="M36">
        <v>0</v>
      </c>
      <c r="N36">
        <v>9000</v>
      </c>
      <c r="O36">
        <v>9</v>
      </c>
    </row>
    <row r="37" spans="1:15">
      <c r="A37">
        <v>28</v>
      </c>
      <c r="B37" t="str">
        <v>Prince Sanjaybhai Subedar</v>
      </c>
      <c r="C37" t="str">
        <v>9th</v>
      </c>
      <c r="D37">
        <v>9574160929</v>
      </c>
      <c r="E37" t="str">
        <v>Boy</v>
      </c>
      <c r="F37">
        <v>0</v>
      </c>
      <c r="G37" t="str">
        <v>Miyanjini Wadi</v>
      </c>
      <c r="H37" t="str">
        <v>P.A. Bhagat</v>
      </c>
      <c r="I37">
        <v>0</v>
      </c>
      <c r="J37">
        <v>9500</v>
      </c>
      <c r="K37">
        <v>0</v>
      </c>
      <c r="L37">
        <v>9500</v>
      </c>
      <c r="M37">
        <v>2000</v>
      </c>
      <c r="N37">
        <v>7500</v>
      </c>
      <c r="O37">
        <v>9</v>
      </c>
    </row>
    <row r="38" spans="1:15">
      <c r="A38">
        <v>61</v>
      </c>
      <c r="B38" t="str">
        <v>Mohammad Sarfaraj Rajakbhai Bilakhya</v>
      </c>
      <c r="C38" t="str">
        <v>9th</v>
      </c>
      <c r="D38">
        <v>9909397360</v>
      </c>
      <c r="E38" t="str">
        <v>Boy</v>
      </c>
      <c r="F38">
        <v>45483</v>
      </c>
      <c r="G38" t="str">
        <v>A/302, alfal biulding, Lalmiya pase rampura</v>
      </c>
      <c r="H38" t="str">
        <v>Jivan bharti</v>
      </c>
      <c r="I38">
        <v>60.58</v>
      </c>
      <c r="J38">
        <v>9500</v>
      </c>
      <c r="K38">
        <v>0</v>
      </c>
      <c r="L38">
        <v>9500</v>
      </c>
      <c r="M38">
        <v>2000</v>
      </c>
      <c r="N38">
        <v>7500</v>
      </c>
      <c r="O38">
        <v>9</v>
      </c>
    </row>
    <row r="39" spans="1:15">
      <c r="A39">
        <v>29</v>
      </c>
      <c r="B39" t="str">
        <v>Mo.Shakib Afzal Hussain Pathan</v>
      </c>
      <c r="C39" t="str">
        <v>10th</v>
      </c>
      <c r="D39">
        <v>9429418784</v>
      </c>
      <c r="E39" t="str">
        <v>Boy</v>
      </c>
      <c r="F39">
        <v>0</v>
      </c>
      <c r="G39" t="str">
        <v>7/1125, Al Rauf Manzil</v>
      </c>
      <c r="H39" t="str">
        <v>Anglo</v>
      </c>
      <c r="I39">
        <v>0</v>
      </c>
      <c r="J39">
        <v>12500</v>
      </c>
      <c r="K39">
        <v>0</v>
      </c>
      <c r="L39">
        <v>12500</v>
      </c>
      <c r="M39">
        <v>3000</v>
      </c>
      <c r="N39">
        <v>9500</v>
      </c>
      <c r="O39">
        <v>10</v>
      </c>
    </row>
    <row r="40" spans="1:15">
      <c r="A40">
        <v>30</v>
      </c>
      <c r="B40" t="str">
        <v>Munavvar Mujaffar Shaikh</v>
      </c>
      <c r="C40" t="str">
        <v>10th</v>
      </c>
      <c r="D40">
        <v>9824936741</v>
      </c>
      <c r="E40" t="str">
        <v>Boy</v>
      </c>
      <c r="F40">
        <v>0</v>
      </c>
      <c r="G40" t="str">
        <v>7/1687,Kalaigar Wad,Tunki</v>
      </c>
      <c r="H40" t="str">
        <v>Anglo</v>
      </c>
      <c r="I40">
        <v>0</v>
      </c>
      <c r="J40">
        <v>12500</v>
      </c>
      <c r="K40">
        <v>0</v>
      </c>
      <c r="L40">
        <v>12500</v>
      </c>
      <c r="M40">
        <v>0</v>
      </c>
      <c r="N40">
        <v>12500</v>
      </c>
      <c r="O40">
        <v>10</v>
      </c>
    </row>
    <row r="41" spans="1:15">
      <c r="A41">
        <v>31</v>
      </c>
      <c r="B41" t="str">
        <v>Ayasha Azhruddin Shaikh</v>
      </c>
      <c r="C41" t="str">
        <v>10th</v>
      </c>
      <c r="D41">
        <v>9689960373</v>
      </c>
      <c r="E41" t="str">
        <v>Girl</v>
      </c>
      <c r="F41">
        <v>0</v>
      </c>
      <c r="G41" t="str">
        <v>893/3,Noori Mohalla</v>
      </c>
      <c r="H41" t="str">
        <v>Bai P.M. Patel</v>
      </c>
      <c r="I41">
        <v>0</v>
      </c>
      <c r="J41">
        <v>12500</v>
      </c>
      <c r="K41">
        <v>700</v>
      </c>
      <c r="L41">
        <v>11800</v>
      </c>
      <c r="M41">
        <v>3000</v>
      </c>
      <c r="N41">
        <v>8800</v>
      </c>
      <c r="O41">
        <v>10</v>
      </c>
    </row>
    <row r="42" spans="1:15">
      <c r="A42">
        <v>32</v>
      </c>
      <c r="B42" t="str">
        <v>Arman Mujehit Shaikh</v>
      </c>
      <c r="C42" t="str">
        <v>10th</v>
      </c>
      <c r="D42">
        <v>8758555925</v>
      </c>
      <c r="E42" t="str">
        <v>Boy</v>
      </c>
      <c r="F42">
        <v>0</v>
      </c>
      <c r="G42" t="str">
        <v>Embassy Hotel,Lal Darwaja</v>
      </c>
      <c r="H42" t="str">
        <v>V.T. Choksi</v>
      </c>
      <c r="I42">
        <v>0</v>
      </c>
      <c r="J42">
        <v>12500</v>
      </c>
      <c r="K42">
        <v>0</v>
      </c>
      <c r="L42">
        <v>12500</v>
      </c>
      <c r="M42">
        <v>1000</v>
      </c>
      <c r="N42">
        <v>11500</v>
      </c>
      <c r="O42">
        <v>10</v>
      </c>
    </row>
    <row r="43" spans="1:15">
      <c r="A43">
        <v>33</v>
      </c>
      <c r="B43" t="str">
        <v>Mariya Mo.Juned Fanibandha</v>
      </c>
      <c r="C43" t="str">
        <v>10th</v>
      </c>
      <c r="D43">
        <v>8160579655</v>
      </c>
      <c r="E43" t="str">
        <v>Girl</v>
      </c>
      <c r="F43">
        <v>0</v>
      </c>
      <c r="G43" t="str">
        <v>Noori Mohalla</v>
      </c>
      <c r="H43" t="str">
        <v>Ambaba</v>
      </c>
      <c r="I43">
        <v>0</v>
      </c>
      <c r="J43">
        <v>12500</v>
      </c>
      <c r="K43">
        <v>700</v>
      </c>
      <c r="L43">
        <v>11800</v>
      </c>
      <c r="M43">
        <v>0</v>
      </c>
      <c r="N43">
        <v>11800</v>
      </c>
      <c r="O43">
        <v>10</v>
      </c>
    </row>
    <row r="44" spans="1:15">
      <c r="A44">
        <v>39</v>
      </c>
      <c r="B44" t="str">
        <v>Mahek Khatun Jahirul Hasan Khan</v>
      </c>
      <c r="C44" t="str">
        <v>10th</v>
      </c>
      <c r="D44">
        <v>7436071998</v>
      </c>
      <c r="E44" t="str">
        <v>Girl</v>
      </c>
      <c r="F44">
        <v>45407</v>
      </c>
      <c r="G44" t="str">
        <v>Miyanjini Wadi</v>
      </c>
      <c r="H44" t="str">
        <v>Ambaba</v>
      </c>
      <c r="I44">
        <v>0</v>
      </c>
      <c r="J44">
        <v>12500</v>
      </c>
      <c r="K44">
        <v>1700</v>
      </c>
      <c r="L44">
        <v>10800</v>
      </c>
      <c r="M44">
        <v>3800</v>
      </c>
      <c r="N44">
        <v>7000</v>
      </c>
      <c r="O44">
        <v>10</v>
      </c>
    </row>
    <row r="45" spans="1:15">
      <c r="A45">
        <v>40</v>
      </c>
      <c r="B45" t="str">
        <v>Aafiya Bibi Mo. Majid Shaikh</v>
      </c>
      <c r="C45" t="str">
        <v>10th</v>
      </c>
      <c r="D45">
        <v>8347358505</v>
      </c>
      <c r="E45" t="str">
        <v>Girl</v>
      </c>
      <c r="F45">
        <v>45411</v>
      </c>
      <c r="G45" t="str">
        <v>C-312, Rubi Complex</v>
      </c>
      <c r="H45" t="str">
        <v>Ambaba</v>
      </c>
      <c r="I45">
        <v>0</v>
      </c>
      <c r="J45">
        <v>12500</v>
      </c>
      <c r="K45">
        <v>2000</v>
      </c>
      <c r="L45">
        <v>10500</v>
      </c>
      <c r="M45">
        <v>3000</v>
      </c>
      <c r="N45">
        <v>7500</v>
      </c>
      <c r="O45">
        <v>10</v>
      </c>
    </row>
    <row r="46" spans="1:15">
      <c r="A46">
        <v>42</v>
      </c>
      <c r="B46" t="str">
        <v>Abuzar Afzal Khan</v>
      </c>
      <c r="C46" t="str">
        <v>10th</v>
      </c>
      <c r="D46">
        <v>9265196193</v>
      </c>
      <c r="E46" t="str">
        <v>Boy</v>
      </c>
      <c r="F46">
        <v>45427</v>
      </c>
      <c r="G46" t="str">
        <v>189, fulwadi</v>
      </c>
      <c r="H46" t="str">
        <v>Anglo</v>
      </c>
      <c r="I46">
        <v>78</v>
      </c>
      <c r="J46">
        <v>12500</v>
      </c>
      <c r="K46">
        <v>0</v>
      </c>
      <c r="L46">
        <v>12500</v>
      </c>
      <c r="M46">
        <v>3000</v>
      </c>
      <c r="N46">
        <v>9500</v>
      </c>
      <c r="O46">
        <v>10</v>
      </c>
    </row>
    <row r="47" spans="1:15">
      <c r="A47">
        <v>46</v>
      </c>
      <c r="B47" t="str">
        <v>Mohammad Aashir Khursidhusen Shaikh</v>
      </c>
      <c r="C47" t="str">
        <v>10th</v>
      </c>
      <c r="D47">
        <v>9512951714</v>
      </c>
      <c r="E47" t="str">
        <v>Boy</v>
      </c>
      <c r="F47">
        <v>45453</v>
      </c>
      <c r="G47" t="str">
        <v>7/780,Noori Mohalla,Rampura</v>
      </c>
      <c r="H47" t="str">
        <v>V.T. Choksi</v>
      </c>
      <c r="I47">
        <v>37.86</v>
      </c>
      <c r="J47">
        <v>12500</v>
      </c>
      <c r="K47">
        <v>0</v>
      </c>
      <c r="L47">
        <v>12500</v>
      </c>
      <c r="M47">
        <v>3000</v>
      </c>
      <c r="N47">
        <v>9500</v>
      </c>
      <c r="O47">
        <v>10</v>
      </c>
    </row>
    <row r="48" spans="1:15">
      <c r="A48">
        <v>52</v>
      </c>
      <c r="B48" t="str">
        <v>Misbabanu Ismailmiya Malek</v>
      </c>
      <c r="C48" t="str">
        <v>10th</v>
      </c>
      <c r="D48">
        <v>9727137039</v>
      </c>
      <c r="E48" t="str">
        <v>Girl</v>
      </c>
      <c r="F48">
        <v>45469</v>
      </c>
      <c r="G48" t="str">
        <v>Miyanjini Wadi</v>
      </c>
      <c r="H48" t="str">
        <v>Lilaba</v>
      </c>
      <c r="I48">
        <v>0</v>
      </c>
      <c r="J48">
        <v>12500</v>
      </c>
      <c r="K48">
        <v>700</v>
      </c>
      <c r="L48">
        <v>11800</v>
      </c>
      <c r="M48">
        <v>3000</v>
      </c>
      <c r="N48">
        <v>8800</v>
      </c>
      <c r="O48">
        <v>10</v>
      </c>
    </row>
    <row r="49" spans="1:15">
      <c r="A49">
        <v>53</v>
      </c>
      <c r="B49" t="str">
        <v>Aliya Faiz mohammad Chichi</v>
      </c>
      <c r="C49" t="str">
        <v>10th</v>
      </c>
      <c r="D49">
        <v>9879116420</v>
      </c>
      <c r="E49" t="str">
        <v>Girl</v>
      </c>
      <c r="F49">
        <v>45471</v>
      </c>
      <c r="G49" t="str">
        <v>12/881, marhaba building, rani taluo, khatkiwad</v>
      </c>
      <c r="H49" t="str">
        <v>P.M patel</v>
      </c>
      <c r="I49">
        <v>0</v>
      </c>
      <c r="J49">
        <v>12500</v>
      </c>
      <c r="K49">
        <v>700</v>
      </c>
      <c r="L49">
        <v>11800</v>
      </c>
      <c r="M49">
        <v>3000</v>
      </c>
      <c r="N49">
        <v>8800</v>
      </c>
      <c r="O49">
        <v>10</v>
      </c>
    </row>
    <row r="50" spans="1:15">
      <c r="A50">
        <v>57</v>
      </c>
      <c r="B50" t="str">
        <v>Halima Rafik shaikh</v>
      </c>
      <c r="C50" t="str">
        <v>10th</v>
      </c>
      <c r="D50">
        <v>9825981417</v>
      </c>
      <c r="E50" t="str">
        <v>Girl</v>
      </c>
      <c r="F50">
        <v>45479</v>
      </c>
      <c r="G50" t="str">
        <v>472, fulwadi, bharimata road, surat</v>
      </c>
      <c r="H50" t="str">
        <v>A.A chakkwala</v>
      </c>
      <c r="I50">
        <v>0</v>
      </c>
      <c r="J50">
        <v>12500</v>
      </c>
      <c r="K50">
        <v>700</v>
      </c>
      <c r="L50">
        <v>11800</v>
      </c>
      <c r="M50">
        <v>3000</v>
      </c>
      <c r="N50">
        <v>8800</v>
      </c>
      <c r="O50">
        <v>10</v>
      </c>
    </row>
    <row r="51" spans="1:15">
      <c r="A51">
        <v>63</v>
      </c>
      <c r="B51" t="str">
        <v>Ali Altafbhai Motiyani</v>
      </c>
      <c r="C51" t="str">
        <v>10th</v>
      </c>
      <c r="D51">
        <v>9979409751</v>
      </c>
      <c r="E51" t="str">
        <v>Boy</v>
      </c>
      <c r="F51">
        <v>45486</v>
      </c>
      <c r="G51" t="str">
        <v>Madina Palace</v>
      </c>
      <c r="H51" t="str">
        <v>V.T. Choksi</v>
      </c>
      <c r="I51">
        <v>39</v>
      </c>
      <c r="J51">
        <v>12500</v>
      </c>
      <c r="K51">
        <v>0</v>
      </c>
      <c r="L51">
        <v>12500</v>
      </c>
      <c r="M51">
        <v>6250</v>
      </c>
      <c r="N51">
        <v>6250</v>
      </c>
      <c r="O51">
        <v>10</v>
      </c>
    </row>
    <row r="52" spans="1:15">
      <c r="A52">
        <v>45</v>
      </c>
      <c r="B52" t="str">
        <v>Asad Imran Shaikh</v>
      </c>
      <c r="C52" t="str">
        <v>11th</v>
      </c>
      <c r="D52">
        <v>9016605483</v>
      </c>
      <c r="E52" t="str">
        <v>Boy</v>
      </c>
      <c r="F52">
        <v>45433</v>
      </c>
      <c r="G52" t="str">
        <v>Tunki</v>
      </c>
      <c r="H52" t="str">
        <v>Union High School</v>
      </c>
      <c r="I52">
        <v>0</v>
      </c>
      <c r="J52">
        <v>13000</v>
      </c>
      <c r="K52">
        <v>0</v>
      </c>
      <c r="L52">
        <v>13000</v>
      </c>
      <c r="M52">
        <v>0</v>
      </c>
      <c r="N52">
        <v>13000</v>
      </c>
      <c r="O52">
        <v>11</v>
      </c>
    </row>
    <row r="53" spans="1:15">
      <c r="A53">
        <v>47</v>
      </c>
      <c r="B53" t="str">
        <v>Umar Munavvar Hussainn Mansuri</v>
      </c>
      <c r="C53" t="str">
        <v>11th</v>
      </c>
      <c r="D53">
        <v>9277777726</v>
      </c>
      <c r="E53" t="str">
        <v>Boy</v>
      </c>
      <c r="F53">
        <v>45456</v>
      </c>
      <c r="G53" t="str">
        <v>Dudhara Sheri</v>
      </c>
      <c r="H53" t="str">
        <v>Union High School</v>
      </c>
      <c r="I53">
        <v>0</v>
      </c>
      <c r="J53">
        <v>13000</v>
      </c>
      <c r="K53">
        <v>0</v>
      </c>
      <c r="L53">
        <v>13000</v>
      </c>
      <c r="M53">
        <v>1500</v>
      </c>
      <c r="N53">
        <v>11500</v>
      </c>
      <c r="O53">
        <v>11</v>
      </c>
    </row>
    <row r="54" spans="1:15">
      <c r="A54">
        <v>48</v>
      </c>
      <c r="B54" t="str">
        <v>Juned Bhohariya</v>
      </c>
      <c r="C54" t="str">
        <v>11th</v>
      </c>
      <c r="D54">
        <v>7043863954</v>
      </c>
      <c r="E54" t="str">
        <v>Boy</v>
      </c>
      <c r="F54">
        <v>45457</v>
      </c>
      <c r="G54" t="str">
        <v>Noori Mohalla</v>
      </c>
      <c r="H54" t="str">
        <v>Union High School</v>
      </c>
      <c r="I54">
        <v>0</v>
      </c>
      <c r="J54">
        <v>13000</v>
      </c>
      <c r="K54">
        <v>0</v>
      </c>
      <c r="L54">
        <v>13000</v>
      </c>
      <c r="M54">
        <v>0</v>
      </c>
      <c r="N54">
        <v>13000</v>
      </c>
      <c r="O54">
        <v>11</v>
      </c>
    </row>
    <row r="55" spans="1:15">
      <c r="A55">
        <v>49</v>
      </c>
      <c r="B55" t="str">
        <v>Aamir Shaikh</v>
      </c>
      <c r="C55" t="str">
        <v>11th</v>
      </c>
      <c r="D55">
        <v>7862983313</v>
      </c>
      <c r="E55" t="str">
        <v>Boy</v>
      </c>
      <c r="F55">
        <v>45457</v>
      </c>
      <c r="G55" t="str">
        <v>Lal Darwaja</v>
      </c>
      <c r="H55" t="str">
        <v>I.C. Gandhi High School</v>
      </c>
      <c r="I55">
        <v>0</v>
      </c>
      <c r="J55">
        <v>13000</v>
      </c>
      <c r="K55">
        <v>0</v>
      </c>
      <c r="L55">
        <v>13000</v>
      </c>
      <c r="M55">
        <v>1500</v>
      </c>
      <c r="N55">
        <v>11500</v>
      </c>
      <c r="O55">
        <v>11</v>
      </c>
    </row>
    <row r="56" spans="1:15">
      <c r="A56">
        <v>50</v>
      </c>
      <c r="B56" t="str">
        <v>Humaira Ilyas Lakkad</v>
      </c>
      <c r="C56" t="str">
        <v>11th</v>
      </c>
      <c r="D56">
        <v>7862063648</v>
      </c>
      <c r="E56" t="str">
        <v>Girl</v>
      </c>
      <c r="F56">
        <v>45442</v>
      </c>
      <c r="G56" t="str">
        <v>Gujarat Mension</v>
      </c>
      <c r="H56" t="str">
        <v>Ambaba</v>
      </c>
      <c r="I56">
        <v>0</v>
      </c>
      <c r="J56">
        <v>13000</v>
      </c>
      <c r="K56">
        <v>700</v>
      </c>
      <c r="L56">
        <v>12300</v>
      </c>
      <c r="M56">
        <v>2000</v>
      </c>
      <c r="N56">
        <v>10300</v>
      </c>
      <c r="O56">
        <v>11</v>
      </c>
    </row>
    <row r="57" spans="1:15">
      <c r="A57">
        <v>34</v>
      </c>
      <c r="B57" t="str">
        <v>Nuresaba Javidgulam Shaikh</v>
      </c>
      <c r="C57" t="str">
        <v>12th</v>
      </c>
      <c r="D57">
        <v>8155917594</v>
      </c>
      <c r="E57" t="str">
        <v>Girl</v>
      </c>
      <c r="F57">
        <v>0</v>
      </c>
      <c r="G57" t="str">
        <v>402, Kazi Appt. Petrol Pump</v>
      </c>
      <c r="H57" t="str">
        <v>Ambaba</v>
      </c>
      <c r="I57">
        <v>0</v>
      </c>
      <c r="J57">
        <v>14500</v>
      </c>
      <c r="K57">
        <v>700</v>
      </c>
      <c r="L57">
        <v>13800</v>
      </c>
      <c r="M57">
        <v>0</v>
      </c>
      <c r="N57">
        <v>13800</v>
      </c>
      <c r="O57">
        <v>12</v>
      </c>
    </row>
    <row r="58" spans="1:15">
      <c r="A58">
        <v>35</v>
      </c>
      <c r="B58" t="str">
        <v>Zarminbanu Abdul Zahir Battiwala</v>
      </c>
      <c r="C58" t="str">
        <v>12th</v>
      </c>
      <c r="D58">
        <v>8735853637</v>
      </c>
      <c r="E58" t="str">
        <v>Girl</v>
      </c>
      <c r="F58">
        <v>0</v>
      </c>
      <c r="G58" t="str">
        <v>7/877-878,Noori Mohalla</v>
      </c>
      <c r="H58" t="str">
        <v>Ambaba</v>
      </c>
      <c r="I58">
        <v>0</v>
      </c>
      <c r="J58">
        <v>14500</v>
      </c>
      <c r="K58">
        <v>700</v>
      </c>
      <c r="L58">
        <v>13800</v>
      </c>
      <c r="M58">
        <v>0</v>
      </c>
      <c r="N58">
        <v>13800</v>
      </c>
      <c r="O58">
        <v>12</v>
      </c>
    </row>
    <row r="59" spans="1:15">
      <c r="A59">
        <v>36</v>
      </c>
      <c r="B59" t="str">
        <v>Mohammad Irfan Abduljalil Kharadi</v>
      </c>
      <c r="C59" t="str">
        <v>12th</v>
      </c>
      <c r="D59">
        <v>9099296295</v>
      </c>
      <c r="E59" t="str">
        <v>Boy</v>
      </c>
      <c r="F59">
        <v>0</v>
      </c>
      <c r="G59" t="str">
        <v>7/4440,Kharadi Sheri</v>
      </c>
      <c r="H59" t="str">
        <v>Anglo</v>
      </c>
      <c r="I59">
        <v>0</v>
      </c>
      <c r="J59">
        <v>14500</v>
      </c>
      <c r="K59">
        <v>0</v>
      </c>
      <c r="L59">
        <v>14500</v>
      </c>
      <c r="M59">
        <v>0</v>
      </c>
      <c r="N59">
        <v>14500</v>
      </c>
      <c r="O59">
        <v>12</v>
      </c>
    </row>
    <row r="60" spans="1:15">
      <c r="A60">
        <v>37</v>
      </c>
      <c r="B60" t="str">
        <v>Mashira Mo.Juned Fanibandha</v>
      </c>
      <c r="C60" t="str">
        <v>12th</v>
      </c>
      <c r="D60">
        <v>8160579655</v>
      </c>
      <c r="E60" t="str">
        <v>Girl</v>
      </c>
      <c r="F60">
        <v>0</v>
      </c>
      <c r="G60" t="str">
        <v>Noori Mohalla</v>
      </c>
      <c r="H60" t="str">
        <v>Ambaba</v>
      </c>
      <c r="I60">
        <v>0</v>
      </c>
      <c r="J60">
        <v>14500</v>
      </c>
      <c r="K60">
        <v>700</v>
      </c>
      <c r="L60">
        <v>13800</v>
      </c>
      <c r="M60">
        <v>0</v>
      </c>
      <c r="N60">
        <v>13800</v>
      </c>
      <c r="O60">
        <v>12</v>
      </c>
    </row>
    <row r="61" spans="1:15">
      <c r="A61">
        <v>38</v>
      </c>
      <c r="B61" t="str">
        <v>Zaynab Ilyas Patel</v>
      </c>
      <c r="C61" t="str">
        <v>12th</v>
      </c>
      <c r="D61">
        <v>9558776923</v>
      </c>
      <c r="E61" t="str">
        <v>Girl</v>
      </c>
      <c r="F61">
        <v>0</v>
      </c>
      <c r="G61" t="str">
        <v>201, Gujarat Mension</v>
      </c>
      <c r="H61" t="str">
        <v>Ambaba</v>
      </c>
      <c r="I61">
        <v>0</v>
      </c>
      <c r="J61">
        <v>14500</v>
      </c>
      <c r="K61">
        <v>1500</v>
      </c>
      <c r="L61">
        <v>13000</v>
      </c>
      <c r="M61">
        <v>3000</v>
      </c>
      <c r="N61">
        <v>10000</v>
      </c>
      <c r="O61">
        <v>12</v>
      </c>
    </row>
    <row r="62" spans="1:15">
      <c r="A62">
        <v>41</v>
      </c>
      <c r="B62" t="str">
        <v>Rajiuddin Rafiuddin Shaikh</v>
      </c>
      <c r="C62" t="str">
        <v>12th</v>
      </c>
      <c r="D62">
        <v>9510714229</v>
      </c>
      <c r="E62" t="str">
        <v>Boy</v>
      </c>
      <c r="F62">
        <v>45421</v>
      </c>
      <c r="G62" t="str">
        <v>19, Lala Flour Building Rampura</v>
      </c>
      <c r="H62" t="str">
        <v>V.T. Choksi</v>
      </c>
      <c r="I62">
        <v>60</v>
      </c>
      <c r="J62">
        <v>14500</v>
      </c>
      <c r="K62">
        <v>0</v>
      </c>
      <c r="L62">
        <v>14500</v>
      </c>
      <c r="M62">
        <v>2000</v>
      </c>
      <c r="N62">
        <v>12500</v>
      </c>
      <c r="O62">
        <v>12</v>
      </c>
    </row>
    <row r="63" spans="1:15">
      <c r="A63">
        <v>43</v>
      </c>
      <c r="B63" t="str">
        <v>Smit Sureshbhai Solanki</v>
      </c>
      <c r="C63" t="str">
        <v>12th</v>
      </c>
      <c r="D63">
        <v>8511160752</v>
      </c>
      <c r="E63" t="str">
        <v>Boy</v>
      </c>
      <c r="F63">
        <v>45429</v>
      </c>
      <c r="G63" t="str">
        <v>7/1133, Lal Miya Masjid</v>
      </c>
      <c r="H63" t="str">
        <v>V.T. Choksi</v>
      </c>
      <c r="I63">
        <v>41</v>
      </c>
      <c r="J63">
        <v>14500</v>
      </c>
      <c r="K63">
        <v>0</v>
      </c>
      <c r="L63">
        <v>14500</v>
      </c>
      <c r="M63">
        <v>0</v>
      </c>
      <c r="N63">
        <v>14500</v>
      </c>
      <c r="O63">
        <v>12</v>
      </c>
    </row>
    <row r="64" spans="1:15">
      <c r="A64">
        <v>44</v>
      </c>
      <c r="B64" t="str">
        <v>Rabiya Mustakbhai Solanki</v>
      </c>
      <c r="C64" t="str">
        <v>12th</v>
      </c>
      <c r="D64">
        <v>9033081709</v>
      </c>
      <c r="E64" t="str">
        <v>Girl</v>
      </c>
      <c r="F64">
        <v>45429</v>
      </c>
      <c r="G64" t="str">
        <v>4th Floor Patel Memsion</v>
      </c>
      <c r="H64" t="str">
        <v>Ambaba</v>
      </c>
      <c r="I64">
        <v>66</v>
      </c>
      <c r="J64">
        <v>14500</v>
      </c>
      <c r="K64">
        <v>700</v>
      </c>
      <c r="L64">
        <v>13800</v>
      </c>
      <c r="M64">
        <v>5000</v>
      </c>
      <c r="N64">
        <v>8800</v>
      </c>
      <c r="O64">
        <v>12</v>
      </c>
    </row>
    <row r="65" spans="1:1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 t="str">
        <v/>
      </c>
      <c r="K65" t="str">
        <v/>
      </c>
      <c r="L65" t="str">
        <v/>
      </c>
      <c r="M65" t="str">
        <v/>
      </c>
      <c r="N65" t="str">
        <v/>
      </c>
      <c r="O65" t="str">
        <v/>
      </c>
    </row>
    <row r="66" spans="1:1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tr">
        <v/>
      </c>
      <c r="K66" t="str">
        <v/>
      </c>
      <c r="L66" t="str">
        <v/>
      </c>
      <c r="M66" t="str">
        <v/>
      </c>
      <c r="N66" t="str">
        <v/>
      </c>
      <c r="O66" t="str">
        <v/>
      </c>
    </row>
    <row r="67" spans="1:1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t="str">
        <v/>
      </c>
      <c r="K67" t="str">
        <v/>
      </c>
      <c r="L67" t="str">
        <v/>
      </c>
      <c r="M67" t="str">
        <v/>
      </c>
      <c r="N67" t="str">
        <v/>
      </c>
      <c r="O67" t="str">
        <v/>
      </c>
    </row>
    <row r="68" spans="1:1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 t="str">
        <v/>
      </c>
      <c r="K68" t="str">
        <v/>
      </c>
      <c r="L68" t="str">
        <v/>
      </c>
      <c r="M68" t="str">
        <v/>
      </c>
      <c r="N68" t="str">
        <v/>
      </c>
      <c r="O68" t="str">
        <v/>
      </c>
    </row>
    <row r="69" spans="1:1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tr">
        <v/>
      </c>
      <c r="K69" t="str">
        <v/>
      </c>
      <c r="L69" t="str">
        <v/>
      </c>
      <c r="M69" t="str">
        <v/>
      </c>
      <c r="N69" t="str">
        <v/>
      </c>
      <c r="O69" t="str">
        <v/>
      </c>
    </row>
    <row r="70" spans="1:1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tr">
        <v/>
      </c>
      <c r="K70" t="str">
        <v/>
      </c>
      <c r="L70" t="str">
        <v/>
      </c>
      <c r="M70" t="str">
        <v/>
      </c>
      <c r="N70" t="str">
        <v/>
      </c>
      <c r="O70" t="str">
        <v/>
      </c>
    </row>
    <row r="71" spans="1:1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tr">
        <v/>
      </c>
      <c r="K71" t="str">
        <v/>
      </c>
      <c r="L71" t="str">
        <v/>
      </c>
      <c r="M71" t="str">
        <v/>
      </c>
      <c r="N71" t="str">
        <v/>
      </c>
      <c r="O71" t="str">
        <v/>
      </c>
    </row>
    <row r="72" spans="1:1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tr">
        <v/>
      </c>
      <c r="K72" t="str">
        <v/>
      </c>
      <c r="L72" t="str">
        <v/>
      </c>
      <c r="M72" t="str">
        <v/>
      </c>
      <c r="N72" t="str">
        <v/>
      </c>
      <c r="O72" t="str">
        <v/>
      </c>
    </row>
    <row r="73" spans="1:1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 t="str">
        <v/>
      </c>
      <c r="K73" t="str">
        <v/>
      </c>
      <c r="L73" t="str">
        <v/>
      </c>
      <c r="M73" t="str">
        <v/>
      </c>
      <c r="N73" t="str">
        <v/>
      </c>
      <c r="O73" t="str">
        <v/>
      </c>
    </row>
    <row r="74" spans="1:1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tr">
        <v/>
      </c>
      <c r="K74" t="str">
        <v/>
      </c>
      <c r="L74" t="str">
        <v/>
      </c>
      <c r="M74" t="str">
        <v/>
      </c>
      <c r="N74" t="str">
        <v/>
      </c>
      <c r="O74" t="str">
        <v/>
      </c>
    </row>
    <row r="75" spans="1:1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tr">
        <v/>
      </c>
      <c r="K75" t="str">
        <v/>
      </c>
      <c r="L75" t="str">
        <v/>
      </c>
      <c r="M75" t="str">
        <v/>
      </c>
      <c r="N75" t="str">
        <v/>
      </c>
      <c r="O75" t="str">
        <v/>
      </c>
    </row>
    <row r="76" spans="1:1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 t="str">
        <v/>
      </c>
      <c r="K76" t="str">
        <v/>
      </c>
      <c r="L76" t="str">
        <v/>
      </c>
      <c r="M76" t="str">
        <v/>
      </c>
      <c r="N76" t="str">
        <v/>
      </c>
      <c r="O76" t="str">
        <v/>
      </c>
    </row>
    <row r="77" spans="1:1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tr">
        <v/>
      </c>
      <c r="K77" t="str">
        <v/>
      </c>
      <c r="L77" t="str">
        <v/>
      </c>
      <c r="M77" t="str">
        <v/>
      </c>
      <c r="N77" t="str">
        <v/>
      </c>
      <c r="O77" t="str">
        <v/>
      </c>
    </row>
    <row r="78" spans="1:1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 t="str">
        <v/>
      </c>
      <c r="K78" t="str">
        <v/>
      </c>
      <c r="L78" t="str">
        <v/>
      </c>
      <c r="M78" t="str">
        <v/>
      </c>
      <c r="N78" t="str">
        <v/>
      </c>
      <c r="O78" t="str">
        <v/>
      </c>
    </row>
    <row r="79" spans="1:1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 t="str">
        <v/>
      </c>
      <c r="K79" t="str">
        <v/>
      </c>
      <c r="L79" t="str">
        <v/>
      </c>
      <c r="M79" t="str">
        <v/>
      </c>
      <c r="N79" t="str">
        <v/>
      </c>
      <c r="O79" t="str">
        <v/>
      </c>
    </row>
    <row r="80" spans="1:1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 t="str">
        <v/>
      </c>
      <c r="K80" t="str">
        <v/>
      </c>
      <c r="L80" t="str">
        <v/>
      </c>
      <c r="M80" t="str">
        <v/>
      </c>
      <c r="N80" t="str">
        <v/>
      </c>
      <c r="O80" t="str">
        <v/>
      </c>
    </row>
    <row r="81" spans="1:1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 t="str">
        <v/>
      </c>
      <c r="K81" t="str">
        <v/>
      </c>
      <c r="L81" t="str">
        <v/>
      </c>
      <c r="M81" t="str">
        <v/>
      </c>
      <c r="N81" t="str">
        <v/>
      </c>
      <c r="O81" t="str">
        <v/>
      </c>
    </row>
    <row r="82" spans="1:1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 t="str">
        <v/>
      </c>
      <c r="K82" t="str">
        <v/>
      </c>
      <c r="L82" t="str">
        <v/>
      </c>
      <c r="M82" t="str">
        <v/>
      </c>
      <c r="N82" t="str">
        <v/>
      </c>
      <c r="O82" t="str">
        <v/>
      </c>
    </row>
    <row r="83" spans="1:1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 t="str">
        <v/>
      </c>
      <c r="K83" t="str">
        <v/>
      </c>
      <c r="L83" t="str">
        <v/>
      </c>
      <c r="M83" t="str">
        <v/>
      </c>
      <c r="N83" t="str">
        <v/>
      </c>
      <c r="O83" t="str">
        <v/>
      </c>
    </row>
    <row r="84" spans="1:1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 t="str">
        <v/>
      </c>
      <c r="K84" t="str">
        <v/>
      </c>
      <c r="L84" t="str">
        <v/>
      </c>
      <c r="M84" t="str">
        <v/>
      </c>
      <c r="N84" t="str">
        <v/>
      </c>
      <c r="O84" t="str">
        <v/>
      </c>
    </row>
    <row r="85" spans="1:1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 t="str">
        <v/>
      </c>
      <c r="K85" t="str">
        <v/>
      </c>
      <c r="L85" t="str">
        <v/>
      </c>
      <c r="M85" t="str">
        <v/>
      </c>
      <c r="N85" t="str">
        <v/>
      </c>
      <c r="O85" t="str">
        <v/>
      </c>
    </row>
    <row r="86" spans="1:1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 t="str">
        <v/>
      </c>
      <c r="K86" t="str">
        <v/>
      </c>
      <c r="L86" t="str">
        <v/>
      </c>
      <c r="M86" t="str">
        <v/>
      </c>
      <c r="N86" t="str">
        <v/>
      </c>
      <c r="O86" t="str">
        <v/>
      </c>
    </row>
    <row r="87" spans="1:1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 t="str">
        <v/>
      </c>
      <c r="K87" t="str">
        <v/>
      </c>
      <c r="L87" t="str">
        <v/>
      </c>
      <c r="M87" t="str">
        <v/>
      </c>
      <c r="N87" t="str">
        <v/>
      </c>
      <c r="O87">
        <v>0</v>
      </c>
    </row>
    <row r="88" spans="1:1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 t="str">
        <v/>
      </c>
      <c r="K88" t="str">
        <v/>
      </c>
      <c r="L88" t="str">
        <v/>
      </c>
      <c r="M88" t="str">
        <v/>
      </c>
      <c r="N88" t="str">
        <v/>
      </c>
      <c r="O88">
        <v>0</v>
      </c>
    </row>
    <row r="89" spans="1:1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 t="str">
        <v>Total</v>
      </c>
      <c r="J89">
        <v>571500</v>
      </c>
      <c r="K89">
        <v>18600</v>
      </c>
      <c r="L89">
        <v>552900</v>
      </c>
      <c r="M89">
        <v>82750</v>
      </c>
      <c r="N89">
        <v>470150</v>
      </c>
      <c r="O89">
        <v>0</v>
      </c>
    </row>
  </sheetData>
  <dataValidations count="1">
    <dataValidation type="list" allowBlank="1" showInputMessage="1" showErrorMessage="1" sqref="E1" xr:uid="{13682E99-B05E-4161-85BA-282190A94659}">
      <formula1>"Girl,Boy"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05623-3FF6-4B12-B2C3-A1A3F323EEE4}">
  <sheetPr codeName="Sheet8"/>
  <dimension ref="B1:J16"/>
  <sheetViews>
    <sheetView workbookViewId="0">
      <selection activeCell="E13" sqref="E13"/>
    </sheetView>
  </sheetViews>
  <sheetFormatPr defaultRowHeight="14.25"/>
  <cols>
    <col min="9" max="9" width="11.75" bestFit="1" customWidth="1"/>
  </cols>
  <sheetData>
    <row r="1" spans="2:10" ht="15" thickBot="1"/>
    <row r="2" spans="2:10" ht="16.5" thickBot="1">
      <c r="B2" s="162"/>
      <c r="C2" s="163" t="s">
        <v>49</v>
      </c>
      <c r="D2" s="163" t="s">
        <v>41</v>
      </c>
      <c r="E2" s="164" t="s">
        <v>16</v>
      </c>
      <c r="H2" s="165" t="s">
        <v>28</v>
      </c>
      <c r="I2" s="166" t="s">
        <v>35</v>
      </c>
      <c r="J2" s="1"/>
    </row>
    <row r="3" spans="2:10" ht="19.5" thickBot="1">
      <c r="B3" s="35" t="s">
        <v>36</v>
      </c>
      <c r="C3" s="36">
        <f>COUNTIFS(ADMISSION!$C$2:$C$88,$B$3,ADMISSION!$E$2:$E$88,C2)</f>
        <v>0</v>
      </c>
      <c r="D3" s="36">
        <f>COUNTIFS(ADMISSION!$C$2:$C$88,B3,ADMISSION!$E$2:$E$88,$D$2)</f>
        <v>0</v>
      </c>
      <c r="E3" s="37">
        <f>SUM(C3:D3)</f>
        <v>0</v>
      </c>
      <c r="H3" s="167" t="s">
        <v>36</v>
      </c>
      <c r="I3" s="168">
        <v>2500</v>
      </c>
    </row>
    <row r="4" spans="2:10" ht="19.5" thickBot="1">
      <c r="B4" s="35" t="s">
        <v>0</v>
      </c>
      <c r="C4" s="36">
        <f>COUNTIFS(ADMISSION!$C$2:$C$88,B4,ADMISSION!$E$2:$E$88,$C$2)</f>
        <v>2</v>
      </c>
      <c r="D4" s="36">
        <f>COUNTIFS(ADMISSION!$C$2:$C$88,B4,ADMISSION!$E$2:$E$88,$D$2)</f>
        <v>2</v>
      </c>
      <c r="E4" s="37">
        <f t="shared" ref="E4:E15" si="0">SUM(C4:D4)</f>
        <v>4</v>
      </c>
      <c r="H4" s="167" t="s">
        <v>0</v>
      </c>
      <c r="I4" s="168">
        <v>3000</v>
      </c>
    </row>
    <row r="5" spans="2:10" ht="19.5" thickBot="1">
      <c r="B5" s="35" t="s">
        <v>1</v>
      </c>
      <c r="C5" s="36">
        <f>COUNTIFS(ADMISSION!$C$2:$C$88,B5,ADMISSION!$E$2:$E$88,$C$2)</f>
        <v>0</v>
      </c>
      <c r="D5" s="36">
        <f>COUNTIFS(ADMISSION!$C$2:$C$88,B5,ADMISSION!$E$2:$E$88,$D$2)</f>
        <v>0</v>
      </c>
      <c r="E5" s="37">
        <f t="shared" si="0"/>
        <v>0</v>
      </c>
      <c r="H5" s="167" t="s">
        <v>1</v>
      </c>
      <c r="I5" s="168">
        <v>3500</v>
      </c>
    </row>
    <row r="6" spans="2:10" ht="19.5" thickBot="1">
      <c r="B6" s="35" t="s">
        <v>5</v>
      </c>
      <c r="C6" s="36">
        <f>COUNTIFS(ADMISSION!$C$2:$C$88,B6,ADMISSION!$E$2:$E$88,$C$2)</f>
        <v>2</v>
      </c>
      <c r="D6" s="36">
        <f>COUNTIFS(ADMISSION!$C$2:$C$88,B6,ADMISSION!$E$2:$E$88,$D$2)</f>
        <v>1</v>
      </c>
      <c r="E6" s="37">
        <f t="shared" si="0"/>
        <v>3</v>
      </c>
      <c r="H6" s="167" t="s">
        <v>5</v>
      </c>
      <c r="I6" s="168">
        <v>4000</v>
      </c>
    </row>
    <row r="7" spans="2:10" ht="19.5" thickBot="1">
      <c r="B7" s="35" t="s">
        <v>7</v>
      </c>
      <c r="C7" s="36">
        <f>COUNTIFS(ADMISSION!$C$2:$C$88,B7,ADMISSION!$E$2:$E$88,$C$2)</f>
        <v>1</v>
      </c>
      <c r="D7" s="36">
        <f>COUNTIFS(ADMISSION!$C$2:$C$88,B7,ADMISSION!$E$2:$E$88,$D$2)</f>
        <v>3</v>
      </c>
      <c r="E7" s="37">
        <f t="shared" si="0"/>
        <v>4</v>
      </c>
      <c r="H7" s="167" t="s">
        <v>7</v>
      </c>
      <c r="I7" s="168">
        <v>4500</v>
      </c>
    </row>
    <row r="8" spans="2:10" ht="19.5" thickBot="1">
      <c r="B8" s="35" t="s">
        <v>3</v>
      </c>
      <c r="C8" s="36">
        <f>COUNTIFS(ADMISSION!$C$2:$C$88,B8,ADMISSION!$E$2:$E$88,$C$2)</f>
        <v>3</v>
      </c>
      <c r="D8" s="36">
        <f>COUNTIFS(ADMISSION!$C$2:$C$88,B8,ADMISSION!$E$2:$E$88,$D$2)</f>
        <v>1</v>
      </c>
      <c r="E8" s="37">
        <f t="shared" si="0"/>
        <v>4</v>
      </c>
      <c r="H8" s="167" t="s">
        <v>3</v>
      </c>
      <c r="I8" s="168">
        <v>5000</v>
      </c>
    </row>
    <row r="9" spans="2:10" ht="19.5" thickBot="1">
      <c r="B9" s="35" t="s">
        <v>4</v>
      </c>
      <c r="C9" s="36">
        <f>COUNTIFS(ADMISSION!$C$2:$C$88,B9,ADMISSION!$E$2:$E$88,$C$2)</f>
        <v>2</v>
      </c>
      <c r="D9" s="36">
        <f>COUNTIFS(ADMISSION!$C$2:$C$88,B9,ADMISSION!$E$2:$E$88,$D$2)</f>
        <v>3</v>
      </c>
      <c r="E9" s="37">
        <f t="shared" si="0"/>
        <v>5</v>
      </c>
      <c r="H9" s="167" t="s">
        <v>4</v>
      </c>
      <c r="I9" s="168">
        <v>6000</v>
      </c>
    </row>
    <row r="10" spans="2:10" ht="19.5" thickBot="1">
      <c r="B10" s="35" t="s">
        <v>8</v>
      </c>
      <c r="C10" s="36">
        <f>COUNTIFS(ADMISSION!$C$2:$C$88,B10,ADMISSION!$E$2:$E$88,$C$2)</f>
        <v>1</v>
      </c>
      <c r="D10" s="36">
        <f>COUNTIFS(ADMISSION!$C$2:$C$88,B10,ADMISSION!$E$2:$E$88,$D$2)</f>
        <v>5</v>
      </c>
      <c r="E10" s="37">
        <f t="shared" si="0"/>
        <v>6</v>
      </c>
      <c r="H10" s="167" t="s">
        <v>8</v>
      </c>
      <c r="I10" s="168">
        <v>7000</v>
      </c>
    </row>
    <row r="11" spans="2:10" ht="19.5" thickBot="1">
      <c r="B11" s="35" t="s">
        <v>2</v>
      </c>
      <c r="C11" s="36">
        <f>COUNTIFS(ADMISSION!$C$2:$C$88,B11,ADMISSION!$E$2:$E$88,$C$2)</f>
        <v>4</v>
      </c>
      <c r="D11" s="36">
        <f>COUNTIFS(ADMISSION!$C$2:$C$88,B11,ADMISSION!$E$2:$E$88,$D$2)</f>
        <v>3</v>
      </c>
      <c r="E11" s="37">
        <f t="shared" si="0"/>
        <v>7</v>
      </c>
      <c r="H11" s="167" t="s">
        <v>2</v>
      </c>
      <c r="I11" s="168">
        <v>8000</v>
      </c>
    </row>
    <row r="12" spans="2:10" ht="19.5" thickBot="1">
      <c r="B12" s="35" t="s">
        <v>9</v>
      </c>
      <c r="C12" s="36">
        <f>COUNTIFS(ADMISSION!$C$2:$C$88,B12,ADMISSION!$E$2:$E$88,$C$2)</f>
        <v>2</v>
      </c>
      <c r="D12" s="36">
        <f>COUNTIFS(ADMISSION!$C$2:$C$88,B12,ADMISSION!$E$2:$E$88,$D$2)</f>
        <v>2</v>
      </c>
      <c r="E12" s="37">
        <f t="shared" si="0"/>
        <v>4</v>
      </c>
      <c r="H12" s="167" t="s">
        <v>9</v>
      </c>
      <c r="I12" s="168">
        <v>9500</v>
      </c>
    </row>
    <row r="13" spans="2:10" ht="19.5" thickBot="1">
      <c r="B13" s="35" t="s">
        <v>6</v>
      </c>
      <c r="C13" s="36">
        <f>COUNTIFS(ADMISSION!$C$2:$C$88,B13,ADMISSION!$E$2:$E$88,$C$2)</f>
        <v>7</v>
      </c>
      <c r="D13" s="36">
        <f>COUNTIFS(ADMISSION!$C$2:$C$88,B13,ADMISSION!$E$2:$E$88,$D$2)</f>
        <v>6</v>
      </c>
      <c r="E13" s="37">
        <f t="shared" si="0"/>
        <v>13</v>
      </c>
      <c r="H13" s="167" t="s">
        <v>6</v>
      </c>
      <c r="I13" s="168">
        <v>12500</v>
      </c>
    </row>
    <row r="14" spans="2:10" ht="19.5" thickBot="1">
      <c r="B14" s="35" t="s">
        <v>10</v>
      </c>
      <c r="C14" s="36">
        <f>COUNTIFS(ADMISSION!$C$2:$C$88,B14,ADMISSION!$E$2:$E$88,$C$2)</f>
        <v>1</v>
      </c>
      <c r="D14" s="36">
        <f>COUNTIFS(ADMISSION!$C$2:$C$88,B14,ADMISSION!$E$2:$E$88,$D$2)</f>
        <v>4</v>
      </c>
      <c r="E14" s="37">
        <f t="shared" si="0"/>
        <v>5</v>
      </c>
      <c r="H14" s="167" t="s">
        <v>10</v>
      </c>
      <c r="I14" s="168">
        <v>13000</v>
      </c>
    </row>
    <row r="15" spans="2:10" ht="19.5" thickBot="1">
      <c r="B15" s="40" t="s">
        <v>11</v>
      </c>
      <c r="C15" s="36">
        <f>COUNTIFS(ADMISSION!$C$2:$C$88,B15,ADMISSION!$E$2:$E$88,$C$2)</f>
        <v>5</v>
      </c>
      <c r="D15" s="36">
        <f>COUNTIFS(ADMISSION!$C$2:$C$88,B15,ADMISSION!$E$2:$E$88,$D$2)</f>
        <v>3</v>
      </c>
      <c r="E15" s="37">
        <f t="shared" si="0"/>
        <v>8</v>
      </c>
      <c r="H15" s="169" t="s">
        <v>11</v>
      </c>
      <c r="I15" s="170">
        <v>14500</v>
      </c>
    </row>
    <row r="16" spans="2:10" ht="19.5" thickBot="1">
      <c r="B16" s="41" t="s">
        <v>16</v>
      </c>
      <c r="C16" s="42">
        <f>SUM(C3:C15)</f>
        <v>30</v>
      </c>
      <c r="D16" s="43">
        <f>SUM(D3:D15)</f>
        <v>33</v>
      </c>
      <c r="E16" s="44">
        <f>SUM(C16:D16)</f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7B0E8-8D09-41A8-88AB-B362A0444BCA}">
  <sheetPr codeName="Sheet4"/>
  <dimension ref="A2:N21"/>
  <sheetViews>
    <sheetView zoomScale="90" zoomScaleNormal="90" workbookViewId="0">
      <selection activeCell="A3" sqref="A3"/>
    </sheetView>
  </sheetViews>
  <sheetFormatPr defaultRowHeight="14.25"/>
  <cols>
    <col min="1" max="1" width="9.125" bestFit="1" customWidth="1"/>
    <col min="2" max="2" width="31.75" style="160" bestFit="1" customWidth="1"/>
    <col min="3" max="3" width="7.75" bestFit="1" customWidth="1"/>
    <col min="4" max="4" width="13" bestFit="1" customWidth="1"/>
    <col min="5" max="5" width="10.125" bestFit="1" customWidth="1"/>
    <col min="6" max="6" width="10.375" hidden="1" customWidth="1"/>
    <col min="7" max="7" width="25.25" hidden="1" customWidth="1"/>
    <col min="8" max="8" width="18.875" hidden="1" customWidth="1"/>
    <col min="9" max="9" width="19.875" hidden="1" customWidth="1"/>
    <col min="10" max="10" width="12.625" bestFit="1" customWidth="1"/>
    <col min="11" max="11" width="11.625" bestFit="1" customWidth="1"/>
    <col min="12" max="12" width="16.875" hidden="1" customWidth="1"/>
    <col min="13" max="13" width="17.25" hidden="1" customWidth="1"/>
    <col min="14" max="14" width="22.625" bestFit="1" customWidth="1"/>
    <col min="15" max="15" width="13" bestFit="1" customWidth="1"/>
    <col min="16" max="16" width="10.125" bestFit="1" customWidth="1"/>
    <col min="17" max="17" width="6.875" bestFit="1" customWidth="1"/>
    <col min="18" max="18" width="10.75" bestFit="1" customWidth="1"/>
    <col min="19" max="19" width="18.875" bestFit="1" customWidth="1"/>
    <col min="20" max="20" width="19.875" bestFit="1" customWidth="1"/>
    <col min="21" max="21" width="12.625" bestFit="1" customWidth="1"/>
    <col min="22" max="22" width="11.625" bestFit="1" customWidth="1"/>
    <col min="23" max="23" width="16.875" bestFit="1" customWidth="1"/>
    <col min="24" max="24" width="17.25" bestFit="1" customWidth="1"/>
    <col min="25" max="25" width="22.625" bestFit="1" customWidth="1"/>
  </cols>
  <sheetData>
    <row r="2" spans="1:14" ht="15">
      <c r="A2" s="38"/>
      <c r="B2" s="158"/>
    </row>
    <row r="3" spans="1:14">
      <c r="A3" t="s">
        <v>11</v>
      </c>
    </row>
    <row r="4" spans="1:14" ht="19.5" thickBot="1">
      <c r="A4" s="21" t="s">
        <v>29</v>
      </c>
      <c r="B4" s="159" t="s">
        <v>34</v>
      </c>
      <c r="C4" s="22" t="s">
        <v>28</v>
      </c>
      <c r="D4" s="22" t="s">
        <v>18</v>
      </c>
      <c r="E4" s="46" t="s">
        <v>17</v>
      </c>
      <c r="F4" s="47" t="s">
        <v>31</v>
      </c>
      <c r="G4" s="48" t="s">
        <v>19</v>
      </c>
      <c r="H4" s="22" t="s">
        <v>32</v>
      </c>
      <c r="I4" s="22" t="s">
        <v>33</v>
      </c>
      <c r="J4" s="49" t="s">
        <v>30</v>
      </c>
      <c r="K4" s="49" t="s">
        <v>23</v>
      </c>
      <c r="L4" s="49" t="s">
        <v>27</v>
      </c>
      <c r="M4" s="49" t="s">
        <v>22</v>
      </c>
      <c r="N4" s="49" t="s">
        <v>26</v>
      </c>
    </row>
    <row r="5" spans="1:14" ht="15">
      <c r="A5" s="207" cm="1">
        <f t="array" ref="A5:A12">_xlfn.SEQUENCE(COUNTA('Class Wise'!B5:B30))</f>
        <v>1</v>
      </c>
      <c r="B5" s="161" t="str" cm="1">
        <f t="array" ref="B5:N12">_xlfn._xlws.FILTER(ADMISSION!$B$2:$N$88,ADMISSION!$C$2:$C$88='Class Wise'!$A$3)</f>
        <v>Nuresaba Javidgulam Shaikh</v>
      </c>
      <c r="C5" t="str">
        <v>12th</v>
      </c>
      <c r="D5">
        <v>8155917594</v>
      </c>
      <c r="E5" t="str">
        <v>Girl</v>
      </c>
      <c r="F5">
        <v>0</v>
      </c>
      <c r="G5" t="str">
        <v>402, Kazi Appt. Petrol Pump</v>
      </c>
      <c r="H5" t="str">
        <v>Ambaba</v>
      </c>
      <c r="I5">
        <v>0</v>
      </c>
      <c r="J5">
        <v>14500</v>
      </c>
      <c r="K5">
        <v>700</v>
      </c>
      <c r="L5">
        <v>13800</v>
      </c>
      <c r="M5">
        <v>0</v>
      </c>
      <c r="N5">
        <v>13800</v>
      </c>
    </row>
    <row r="6" spans="1:14" ht="15">
      <c r="A6" s="203">
        <v>2</v>
      </c>
      <c r="B6" s="158" t="str">
        <v>Zarminbanu Abdul Zahir Battiwala</v>
      </c>
      <c r="C6" t="str">
        <v>12th</v>
      </c>
      <c r="D6">
        <v>8735853637</v>
      </c>
      <c r="E6" t="str">
        <v>Girl</v>
      </c>
      <c r="F6">
        <v>0</v>
      </c>
      <c r="G6" t="str">
        <v>7/877-878,Noori Mohalla</v>
      </c>
      <c r="H6" t="str">
        <v>Ambaba</v>
      </c>
      <c r="I6">
        <v>0</v>
      </c>
      <c r="J6">
        <v>14500</v>
      </c>
      <c r="K6">
        <v>700</v>
      </c>
      <c r="L6">
        <v>13800</v>
      </c>
      <c r="M6">
        <v>0</v>
      </c>
      <c r="N6">
        <v>13800</v>
      </c>
    </row>
    <row r="7" spans="1:14" ht="15">
      <c r="A7" s="203">
        <v>3</v>
      </c>
      <c r="B7" s="158" t="str">
        <v>Mohammad Irfan Abduljalil Kharadi</v>
      </c>
      <c r="C7" t="str">
        <v>12th</v>
      </c>
      <c r="D7">
        <v>9099296295</v>
      </c>
      <c r="E7" t="str">
        <v>Boy</v>
      </c>
      <c r="F7">
        <v>0</v>
      </c>
      <c r="G7" t="str">
        <v>7/4440,Kharadi Sheri</v>
      </c>
      <c r="H7" t="str">
        <v>Anglo</v>
      </c>
      <c r="I7">
        <v>0</v>
      </c>
      <c r="J7">
        <v>14500</v>
      </c>
      <c r="K7">
        <v>0</v>
      </c>
      <c r="L7">
        <v>14500</v>
      </c>
      <c r="M7">
        <v>0</v>
      </c>
      <c r="N7">
        <v>14500</v>
      </c>
    </row>
    <row r="8" spans="1:14" ht="15">
      <c r="A8" s="30">
        <v>4</v>
      </c>
      <c r="B8" s="158" t="str">
        <v>Mashira Mo.Juned Fanibandha</v>
      </c>
      <c r="C8" t="str">
        <v>12th</v>
      </c>
      <c r="D8">
        <v>8160579655</v>
      </c>
      <c r="E8" t="str">
        <v>Girl</v>
      </c>
      <c r="F8">
        <v>0</v>
      </c>
      <c r="G8" t="str">
        <v>Noori Mohalla</v>
      </c>
      <c r="H8" t="str">
        <v>Ambaba</v>
      </c>
      <c r="I8">
        <v>0</v>
      </c>
      <c r="J8">
        <v>14500</v>
      </c>
      <c r="K8">
        <v>700</v>
      </c>
      <c r="L8">
        <v>13800</v>
      </c>
      <c r="M8">
        <v>0</v>
      </c>
      <c r="N8">
        <v>13800</v>
      </c>
    </row>
    <row r="9" spans="1:14" ht="15">
      <c r="A9" s="203">
        <v>5</v>
      </c>
      <c r="B9" s="158" t="str">
        <v>Zaynab Ilyas Patel</v>
      </c>
      <c r="C9" t="str">
        <v>12th</v>
      </c>
      <c r="D9">
        <v>9558776923</v>
      </c>
      <c r="E9" t="str">
        <v>Girl</v>
      </c>
      <c r="F9">
        <v>0</v>
      </c>
      <c r="G9" t="str">
        <v>201, Gujarat Mension</v>
      </c>
      <c r="H9" t="str">
        <v>Ambaba</v>
      </c>
      <c r="I9">
        <v>0</v>
      </c>
      <c r="J9">
        <v>14500</v>
      </c>
      <c r="K9">
        <v>1500</v>
      </c>
      <c r="L9">
        <v>13000</v>
      </c>
      <c r="M9">
        <v>3000</v>
      </c>
      <c r="N9">
        <v>10000</v>
      </c>
    </row>
    <row r="10" spans="1:14" ht="15">
      <c r="A10" s="203">
        <v>6</v>
      </c>
      <c r="B10" s="158" t="str">
        <v>Rajiuddin Rafiuddin Shaikh</v>
      </c>
      <c r="C10" t="str">
        <v>12th</v>
      </c>
      <c r="D10">
        <v>9510714229</v>
      </c>
      <c r="E10" t="str">
        <v>Boy</v>
      </c>
      <c r="F10">
        <v>45421</v>
      </c>
      <c r="G10" t="str">
        <v>19, Lala Flour Building Rampura</v>
      </c>
      <c r="H10" t="str">
        <v>V.T. Choksi</v>
      </c>
      <c r="I10">
        <v>60</v>
      </c>
      <c r="J10">
        <v>14500</v>
      </c>
      <c r="K10">
        <v>0</v>
      </c>
      <c r="L10">
        <v>14500</v>
      </c>
      <c r="M10">
        <v>2000</v>
      </c>
      <c r="N10">
        <v>12500</v>
      </c>
    </row>
    <row r="11" spans="1:14" ht="15">
      <c r="A11" s="203">
        <v>7</v>
      </c>
      <c r="B11" s="158" t="str">
        <v>Smit Sureshbhai Solanki</v>
      </c>
      <c r="C11" t="str">
        <v>12th</v>
      </c>
      <c r="D11">
        <v>8511160752</v>
      </c>
      <c r="E11" t="str">
        <v>Boy</v>
      </c>
      <c r="F11">
        <v>45429</v>
      </c>
      <c r="G11" t="str">
        <v>7/1133, Lal Miya Masjid</v>
      </c>
      <c r="H11" t="str">
        <v>V.T. Choksi</v>
      </c>
      <c r="I11">
        <v>41</v>
      </c>
      <c r="J11">
        <v>14500</v>
      </c>
      <c r="K11">
        <v>0</v>
      </c>
      <c r="L11">
        <v>14500</v>
      </c>
      <c r="M11">
        <v>0</v>
      </c>
      <c r="N11">
        <v>14500</v>
      </c>
    </row>
    <row r="12" spans="1:14" ht="15">
      <c r="A12" s="203">
        <v>8</v>
      </c>
      <c r="B12" s="158" t="str">
        <v>Rabiya Mustakbhai Solanki</v>
      </c>
      <c r="C12" t="str">
        <v>12th</v>
      </c>
      <c r="D12">
        <v>9033081709</v>
      </c>
      <c r="E12" t="str">
        <v>Girl</v>
      </c>
      <c r="F12">
        <v>45429</v>
      </c>
      <c r="G12" t="str">
        <v>4th Floor Patel Memsion</v>
      </c>
      <c r="H12" t="str">
        <v>Ambaba</v>
      </c>
      <c r="I12">
        <v>66</v>
      </c>
      <c r="J12">
        <v>14500</v>
      </c>
      <c r="K12">
        <v>700</v>
      </c>
      <c r="L12">
        <v>13800</v>
      </c>
      <c r="M12">
        <v>5000</v>
      </c>
      <c r="N12">
        <v>8800</v>
      </c>
    </row>
    <row r="13" spans="1:14" ht="15">
      <c r="A13" s="203"/>
      <c r="B13" s="158"/>
      <c r="F13" s="92"/>
    </row>
    <row r="14" spans="1:14" ht="15">
      <c r="A14" s="203"/>
      <c r="B14" s="158"/>
      <c r="F14" s="92"/>
    </row>
    <row r="15" spans="1:14" ht="15">
      <c r="A15" s="203"/>
      <c r="B15" s="158"/>
      <c r="F15" s="92"/>
    </row>
    <row r="16" spans="1:14" ht="15">
      <c r="A16" s="203"/>
      <c r="B16" s="158"/>
    </row>
    <row r="17" spans="1:14" ht="15">
      <c r="A17" s="203"/>
      <c r="B17" s="158"/>
    </row>
    <row r="18" spans="1:14" ht="15">
      <c r="A18" s="38"/>
      <c r="B18" s="158"/>
    </row>
    <row r="21" spans="1:14">
      <c r="N21">
        <f>SUBTOTAL(9,N5:N20)</f>
        <v>101700</v>
      </c>
    </row>
  </sheetData>
  <dataValidations count="2">
    <dataValidation type="list" allowBlank="1" showInputMessage="1" showErrorMessage="1" sqref="E4" xr:uid="{736C553B-FA1B-4458-9071-B65389350308}">
      <formula1>"Girl,Boy"</formula1>
    </dataValidation>
    <dataValidation type="list" allowBlank="1" showInputMessage="1" showErrorMessage="1" sqref="B6:B7 B2 A3" xr:uid="{7B35BE66-8AAA-4711-9CA7-AE2AD621905C}">
      <formula1>"K.G.,1st,2nd,3rd,4th,5th,6th,7th,8th,9th,10th,11th,12th"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C849BC-BB42-4AB5-ABEA-E12E19B778BE}">
          <x14:formula1>
            <xm:f>'FEE ENTRY'!D3:D202</xm:f>
          </x14:formula1>
          <xm:sqref>A19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698D-ACF7-4918-9C41-3D58C62E25E6}">
  <sheetPr codeName="Sheet6"/>
  <dimension ref="A1:X43"/>
  <sheetViews>
    <sheetView zoomScale="90" zoomScaleNormal="90" workbookViewId="0">
      <selection activeCell="I40" sqref="I40"/>
    </sheetView>
  </sheetViews>
  <sheetFormatPr defaultRowHeight="14.25"/>
  <cols>
    <col min="1" max="1" width="15.875" bestFit="1" customWidth="1"/>
    <col min="15" max="23" width="12.75" customWidth="1"/>
  </cols>
  <sheetData>
    <row r="1" spans="1:24" ht="15" thickBot="1"/>
    <row r="2" spans="1:24" ht="15" thickBot="1">
      <c r="A2" s="94"/>
      <c r="B2" s="149" t="s">
        <v>4</v>
      </c>
      <c r="C2" s="149" t="s">
        <v>8</v>
      </c>
      <c r="D2" s="149" t="s">
        <v>2</v>
      </c>
      <c r="E2" s="149" t="s">
        <v>9</v>
      </c>
      <c r="F2" s="149" t="s">
        <v>6</v>
      </c>
      <c r="G2" s="149" t="s">
        <v>10</v>
      </c>
      <c r="H2" s="151" t="s">
        <v>11</v>
      </c>
      <c r="I2" s="152" t="s">
        <v>16</v>
      </c>
      <c r="O2" s="262" t="s">
        <v>150</v>
      </c>
      <c r="P2" s="263"/>
      <c r="Q2" s="264"/>
      <c r="R2" s="262" t="s">
        <v>151</v>
      </c>
      <c r="S2" s="263"/>
      <c r="T2" s="264"/>
      <c r="U2" s="265" t="s">
        <v>156</v>
      </c>
      <c r="V2" s="266"/>
      <c r="W2" s="267"/>
    </row>
    <row r="3" spans="1:24" ht="15">
      <c r="A3" s="103" t="s">
        <v>136</v>
      </c>
      <c r="B3" s="94">
        <f>B15*12%</f>
        <v>300</v>
      </c>
      <c r="C3" s="95">
        <f>C15*12%</f>
        <v>840</v>
      </c>
      <c r="D3" s="95">
        <f>D15*12%</f>
        <v>1140</v>
      </c>
      <c r="E3" s="95">
        <f>E15*13%</f>
        <v>780</v>
      </c>
      <c r="F3" s="95">
        <f>F15*13%</f>
        <v>4556.5</v>
      </c>
      <c r="G3" s="95"/>
      <c r="H3" s="104"/>
      <c r="I3" s="119">
        <f>SUM(B3:H3)</f>
        <v>7616.5</v>
      </c>
      <c r="O3" s="128" t="s">
        <v>31</v>
      </c>
      <c r="P3" s="124" t="s">
        <v>153</v>
      </c>
      <c r="Q3" s="129" t="s">
        <v>133</v>
      </c>
      <c r="R3" s="128" t="s">
        <v>31</v>
      </c>
      <c r="S3" s="124" t="s">
        <v>153</v>
      </c>
      <c r="T3" s="129" t="s">
        <v>133</v>
      </c>
      <c r="U3" s="128" t="s">
        <v>31</v>
      </c>
      <c r="V3" s="124" t="s">
        <v>153</v>
      </c>
      <c r="W3" s="129" t="s">
        <v>133</v>
      </c>
    </row>
    <row r="4" spans="1:24" ht="15">
      <c r="A4" s="103" t="s">
        <v>137</v>
      </c>
      <c r="B4" s="102">
        <f>B15*11%</f>
        <v>275</v>
      </c>
      <c r="C4" s="93">
        <f>C15*11%</f>
        <v>770</v>
      </c>
      <c r="D4" s="93">
        <f>D15*11%</f>
        <v>1045</v>
      </c>
      <c r="E4" s="93">
        <f>E15*12%</f>
        <v>720</v>
      </c>
      <c r="F4" s="93">
        <f>F15*12%</f>
        <v>4206</v>
      </c>
      <c r="G4" s="93"/>
      <c r="H4" s="101"/>
      <c r="I4" s="120">
        <f t="shared" ref="I4:I16" si="0">SUM(B4:H4)</f>
        <v>7016</v>
      </c>
      <c r="O4" s="130"/>
      <c r="P4" s="126"/>
      <c r="Q4" s="131"/>
      <c r="R4" s="130"/>
      <c r="S4" s="126"/>
      <c r="T4" s="131"/>
      <c r="U4" s="130"/>
      <c r="V4" s="126"/>
      <c r="W4" s="131"/>
    </row>
    <row r="5" spans="1:24" ht="15">
      <c r="A5" s="103" t="s">
        <v>138</v>
      </c>
      <c r="B5" s="102">
        <f>B15*10%</f>
        <v>250</v>
      </c>
      <c r="C5" s="93">
        <f>C15*10%</f>
        <v>700</v>
      </c>
      <c r="D5" s="93">
        <f>D15*10%</f>
        <v>950</v>
      </c>
      <c r="E5" s="93">
        <f>E15*11%</f>
        <v>660</v>
      </c>
      <c r="F5" s="93">
        <f>F15*11%</f>
        <v>3855.5</v>
      </c>
      <c r="G5" s="93"/>
      <c r="H5" s="101"/>
      <c r="I5" s="120">
        <f t="shared" si="0"/>
        <v>6415.5</v>
      </c>
      <c r="O5" s="130"/>
      <c r="P5" s="126"/>
      <c r="Q5" s="131"/>
      <c r="R5" s="130"/>
      <c r="S5" s="126"/>
      <c r="T5" s="131"/>
      <c r="U5" s="130"/>
      <c r="V5" s="126"/>
      <c r="W5" s="131"/>
    </row>
    <row r="6" spans="1:24" ht="15">
      <c r="A6" s="103" t="s">
        <v>139</v>
      </c>
      <c r="B6" s="102">
        <f t="shared" ref="B6:H6" si="1">B15*10%</f>
        <v>250</v>
      </c>
      <c r="C6" s="93">
        <f t="shared" si="1"/>
        <v>700</v>
      </c>
      <c r="D6" s="93">
        <f t="shared" si="1"/>
        <v>950</v>
      </c>
      <c r="E6" s="93">
        <f t="shared" si="1"/>
        <v>600</v>
      </c>
      <c r="F6" s="93">
        <f t="shared" si="1"/>
        <v>3505</v>
      </c>
      <c r="G6" s="93">
        <f t="shared" si="1"/>
        <v>500</v>
      </c>
      <c r="H6" s="101">
        <f t="shared" si="1"/>
        <v>1000</v>
      </c>
      <c r="I6" s="120">
        <f t="shared" si="0"/>
        <v>7505</v>
      </c>
      <c r="O6" s="130"/>
      <c r="P6" s="126"/>
      <c r="Q6" s="131"/>
      <c r="R6" s="130"/>
      <c r="S6" s="126"/>
      <c r="T6" s="131"/>
      <c r="U6" s="130"/>
      <c r="V6" s="126"/>
      <c r="W6" s="131"/>
    </row>
    <row r="7" spans="1:24" ht="15">
      <c r="A7" s="103" t="s">
        <v>140</v>
      </c>
      <c r="B7" s="102">
        <f>B15*5%</f>
        <v>125</v>
      </c>
      <c r="C7" s="93">
        <f>C15*5%</f>
        <v>350</v>
      </c>
      <c r="D7" s="93">
        <f>D15*5%</f>
        <v>475</v>
      </c>
      <c r="E7" s="93"/>
      <c r="F7" s="93"/>
      <c r="G7" s="93"/>
      <c r="H7" s="101"/>
      <c r="I7" s="120">
        <f t="shared" si="0"/>
        <v>950</v>
      </c>
      <c r="O7" s="130"/>
      <c r="P7" s="126"/>
      <c r="Q7" s="131"/>
      <c r="R7" s="130"/>
      <c r="S7" s="126"/>
      <c r="T7" s="131"/>
      <c r="U7" s="130"/>
      <c r="V7" s="126"/>
      <c r="W7" s="131"/>
    </row>
    <row r="8" spans="1:24" ht="15">
      <c r="A8" s="103" t="s">
        <v>141</v>
      </c>
      <c r="B8" s="102">
        <f>B15*5%</f>
        <v>125</v>
      </c>
      <c r="C8" s="93">
        <f>C15*5%</f>
        <v>350</v>
      </c>
      <c r="D8" s="93">
        <f>D15*5%</f>
        <v>475</v>
      </c>
      <c r="E8" s="93"/>
      <c r="F8" s="93"/>
      <c r="G8" s="93"/>
      <c r="H8" s="101"/>
      <c r="I8" s="120">
        <f t="shared" si="0"/>
        <v>950</v>
      </c>
      <c r="O8" s="130"/>
      <c r="P8" s="126"/>
      <c r="Q8" s="131"/>
      <c r="R8" s="130"/>
      <c r="S8" s="126"/>
      <c r="T8" s="131"/>
      <c r="U8" s="130"/>
      <c r="V8" s="126"/>
      <c r="W8" s="131"/>
    </row>
    <row r="9" spans="1:24" ht="15">
      <c r="A9" s="103" t="s">
        <v>142</v>
      </c>
      <c r="B9" s="102"/>
      <c r="C9" s="93"/>
      <c r="D9" s="93"/>
      <c r="E9" s="93"/>
      <c r="F9" s="93"/>
      <c r="G9" s="93">
        <f>G15*18%</f>
        <v>900</v>
      </c>
      <c r="H9" s="101">
        <f>H15*18%</f>
        <v>1800</v>
      </c>
      <c r="I9" s="120">
        <f t="shared" si="0"/>
        <v>2700</v>
      </c>
      <c r="O9" s="130"/>
      <c r="P9" s="126"/>
      <c r="Q9" s="131"/>
      <c r="R9" s="130"/>
      <c r="S9" s="126"/>
      <c r="T9" s="131"/>
      <c r="U9" s="130"/>
      <c r="V9" s="126"/>
      <c r="W9" s="131"/>
    </row>
    <row r="10" spans="1:24" ht="15">
      <c r="A10" s="103" t="s">
        <v>143</v>
      </c>
      <c r="B10" s="102"/>
      <c r="C10" s="93"/>
      <c r="D10" s="93"/>
      <c r="E10" s="93"/>
      <c r="F10" s="93"/>
      <c r="G10" s="93">
        <f>G15*18%</f>
        <v>900</v>
      </c>
      <c r="H10" s="101">
        <f>H15*18%</f>
        <v>1800</v>
      </c>
      <c r="I10" s="120">
        <f t="shared" si="0"/>
        <v>2700</v>
      </c>
      <c r="O10" s="130"/>
      <c r="P10" s="126"/>
      <c r="Q10" s="131"/>
      <c r="R10" s="130"/>
      <c r="S10" s="126"/>
      <c r="T10" s="131"/>
      <c r="U10" s="130"/>
      <c r="V10" s="126"/>
      <c r="W10" s="131"/>
    </row>
    <row r="11" spans="1:24" ht="15">
      <c r="A11" s="103" t="s">
        <v>144</v>
      </c>
      <c r="B11" s="102"/>
      <c r="C11" s="93"/>
      <c r="D11" s="93"/>
      <c r="E11" s="93"/>
      <c r="F11" s="93"/>
      <c r="G11" s="93">
        <f>G15*11%</f>
        <v>550</v>
      </c>
      <c r="H11" s="101">
        <f>H15*11%</f>
        <v>1100</v>
      </c>
      <c r="I11" s="120">
        <f t="shared" si="0"/>
        <v>1650</v>
      </c>
      <c r="O11" s="130"/>
      <c r="P11" s="126"/>
      <c r="Q11" s="131"/>
      <c r="R11" s="130"/>
      <c r="S11" s="126"/>
      <c r="T11" s="131"/>
      <c r="U11" s="130"/>
      <c r="V11" s="126"/>
      <c r="W11" s="131"/>
    </row>
    <row r="12" spans="1:24" ht="15">
      <c r="A12" s="103" t="s">
        <v>145</v>
      </c>
      <c r="B12" s="102"/>
      <c r="C12" s="93"/>
      <c r="D12" s="93"/>
      <c r="E12" s="93"/>
      <c r="F12" s="93"/>
      <c r="G12" s="93">
        <f>G15*11%</f>
        <v>550</v>
      </c>
      <c r="H12" s="101">
        <f>H15*11%</f>
        <v>1100</v>
      </c>
      <c r="I12" s="120">
        <f t="shared" si="0"/>
        <v>1650</v>
      </c>
      <c r="O12" s="130"/>
      <c r="P12" s="126"/>
      <c r="Q12" s="131"/>
      <c r="R12" s="130"/>
      <c r="S12" s="126"/>
      <c r="T12" s="131"/>
      <c r="U12" s="130"/>
      <c r="V12" s="126"/>
      <c r="W12" s="131"/>
    </row>
    <row r="13" spans="1:24" ht="15.75" thickBot="1">
      <c r="A13" s="109" t="s">
        <v>146</v>
      </c>
      <c r="B13" s="97"/>
      <c r="C13" s="98"/>
      <c r="D13" s="98"/>
      <c r="E13" s="98"/>
      <c r="F13" s="98"/>
      <c r="G13" s="98">
        <f>G15*15%</f>
        <v>750</v>
      </c>
      <c r="H13" s="105">
        <f>H15*15%</f>
        <v>1500</v>
      </c>
      <c r="I13" s="147">
        <f t="shared" si="0"/>
        <v>2250</v>
      </c>
      <c r="O13" s="130"/>
      <c r="P13" s="126"/>
      <c r="Q13" s="131"/>
      <c r="R13" s="130"/>
      <c r="S13" s="126"/>
      <c r="T13" s="131"/>
      <c r="U13" s="130"/>
      <c r="V13" s="126"/>
      <c r="W13" s="131"/>
    </row>
    <row r="14" spans="1:24" ht="15">
      <c r="A14" s="144" t="s">
        <v>148</v>
      </c>
      <c r="B14" s="122">
        <f>SUM(B3:B13)</f>
        <v>1325</v>
      </c>
      <c r="C14" s="122">
        <f t="shared" ref="C14:H14" si="2">SUM(C3:C13)</f>
        <v>3710</v>
      </c>
      <c r="D14" s="122">
        <f t="shared" si="2"/>
        <v>5035</v>
      </c>
      <c r="E14" s="122">
        <f t="shared" si="2"/>
        <v>2760</v>
      </c>
      <c r="F14" s="122">
        <f t="shared" si="2"/>
        <v>16123</v>
      </c>
      <c r="G14" s="122">
        <f t="shared" si="2"/>
        <v>4150</v>
      </c>
      <c r="H14" s="145">
        <f t="shared" si="2"/>
        <v>8300</v>
      </c>
      <c r="I14" s="146">
        <f t="shared" si="0"/>
        <v>41403</v>
      </c>
      <c r="O14" s="130"/>
      <c r="P14" s="126"/>
      <c r="Q14" s="131"/>
      <c r="R14" s="130"/>
      <c r="S14" s="126"/>
      <c r="T14" s="131"/>
      <c r="U14" s="130"/>
      <c r="V14" s="126"/>
      <c r="W14" s="131"/>
    </row>
    <row r="15" spans="1:24" ht="15.75" thickBot="1">
      <c r="A15" s="106" t="s">
        <v>16</v>
      </c>
      <c r="B15" s="107">
        <f>SUMIF('FEE ENTRY'!$C$3:$C$202,'%'!B2,'FEE ENTRY'!$I$3:$I$202)</f>
        <v>2500</v>
      </c>
      <c r="C15" s="107">
        <f>SUMIF('FEE ENTRY'!$C$3:$C$202,'%'!C2,'FEE ENTRY'!$I$3:$I$202)</f>
        <v>7000</v>
      </c>
      <c r="D15" s="107">
        <f>SUMIF('FEE ENTRY'!$C$3:$C$202,'%'!D2,'FEE ENTRY'!$I$3:$I$202)</f>
        <v>9500</v>
      </c>
      <c r="E15" s="107">
        <f>SUMIF('FEE ENTRY'!$C$3:$C$202,'%'!E2,'FEE ENTRY'!$I$3:$I$202)</f>
        <v>6000</v>
      </c>
      <c r="F15" s="107">
        <f>SUMIF('FEE ENTRY'!$C$3:$C$202,'%'!F2,'FEE ENTRY'!$I$3:$I$202)</f>
        <v>35050</v>
      </c>
      <c r="G15" s="107">
        <f>SUMIF('FEE ENTRY'!$C$3:$C$202,'%'!G2,'FEE ENTRY'!$I$3:$I$202)</f>
        <v>5000</v>
      </c>
      <c r="H15" s="108">
        <f>SUMIF('FEE ENTRY'!$C$3:$C$202,'%'!H2,'FEE ENTRY'!$I$3:$I$202)</f>
        <v>10000</v>
      </c>
      <c r="I15" s="120">
        <f>SUM(B15:H15)</f>
        <v>75050</v>
      </c>
      <c r="O15" s="140"/>
      <c r="P15" s="141"/>
      <c r="Q15" s="142"/>
      <c r="R15" s="140"/>
      <c r="S15" s="141"/>
      <c r="T15" s="142"/>
      <c r="U15" s="140"/>
      <c r="V15" s="141"/>
      <c r="W15" s="142"/>
    </row>
    <row r="16" spans="1:24" ht="15" thickBot="1">
      <c r="A16" s="114" t="s">
        <v>147</v>
      </c>
      <c r="B16" s="115">
        <f>B15-B14</f>
        <v>1175</v>
      </c>
      <c r="C16" s="115">
        <f t="shared" ref="C16:H16" si="3">C15-C14</f>
        <v>3290</v>
      </c>
      <c r="D16" s="115">
        <f t="shared" si="3"/>
        <v>4465</v>
      </c>
      <c r="E16" s="115">
        <f t="shared" si="3"/>
        <v>3240</v>
      </c>
      <c r="F16" s="115">
        <f t="shared" si="3"/>
        <v>18927</v>
      </c>
      <c r="G16" s="115">
        <f t="shared" si="3"/>
        <v>850</v>
      </c>
      <c r="H16" s="117">
        <f t="shared" si="3"/>
        <v>1700</v>
      </c>
      <c r="I16" s="118">
        <f t="shared" si="0"/>
        <v>33647</v>
      </c>
      <c r="O16" s="136" t="s">
        <v>154</v>
      </c>
      <c r="P16" s="137">
        <f>SUM(P4:P15)</f>
        <v>0</v>
      </c>
      <c r="Q16" s="139"/>
      <c r="R16" s="136" t="s">
        <v>154</v>
      </c>
      <c r="S16" s="137">
        <f>SUM(S4:S15)</f>
        <v>0</v>
      </c>
      <c r="T16" s="139"/>
      <c r="U16" s="136" t="s">
        <v>154</v>
      </c>
      <c r="V16" s="137">
        <f>SUM(V4:V15)</f>
        <v>0</v>
      </c>
      <c r="W16" s="127"/>
      <c r="X16" s="125"/>
    </row>
    <row r="17" spans="1:24">
      <c r="O17" s="132" t="s">
        <v>155</v>
      </c>
      <c r="P17" s="134">
        <f>B4+B6+B7+B8+C4+C6+C7+C8+D4+D6+D7+D8+E4+E6+F4+F6+G6+H6+B5+C5+D5</f>
        <v>18321</v>
      </c>
      <c r="Q17" s="138"/>
      <c r="R17" s="132" t="s">
        <v>155</v>
      </c>
      <c r="S17" s="134">
        <f>E5+F5+G9+G11+G12+G13+H9+H11+H12+H13</f>
        <v>12765.5</v>
      </c>
      <c r="T17" s="138"/>
      <c r="U17" s="132" t="s">
        <v>155</v>
      </c>
      <c r="V17" s="134">
        <f>B3+C3+D3+E3+F3+G10+H10</f>
        <v>10316.5</v>
      </c>
      <c r="W17" s="138"/>
      <c r="X17" s="125"/>
    </row>
    <row r="18" spans="1:24" ht="15" thickBot="1">
      <c r="O18" s="133" t="s">
        <v>147</v>
      </c>
      <c r="P18" s="135">
        <f>P17-P16</f>
        <v>18321</v>
      </c>
      <c r="Q18" s="138"/>
      <c r="R18" s="133" t="s">
        <v>147</v>
      </c>
      <c r="S18" s="135">
        <f>S17-S16</f>
        <v>12765.5</v>
      </c>
      <c r="T18" s="138"/>
      <c r="U18" s="133" t="s">
        <v>147</v>
      </c>
      <c r="V18" s="135">
        <f>V17-V16</f>
        <v>10316.5</v>
      </c>
      <c r="W18" s="138"/>
      <c r="X18" s="125"/>
    </row>
    <row r="19" spans="1:24">
      <c r="Q19" s="125"/>
      <c r="R19" s="125"/>
      <c r="T19" s="125"/>
      <c r="U19" s="125"/>
      <c r="W19" s="125"/>
    </row>
    <row r="20" spans="1:24">
      <c r="Q20" s="125"/>
      <c r="R20" s="125"/>
      <c r="T20" s="125"/>
      <c r="U20" s="125"/>
      <c r="W20" s="125"/>
    </row>
    <row r="21" spans="1:24">
      <c r="Q21" s="125"/>
      <c r="R21" s="125"/>
      <c r="T21" s="125"/>
      <c r="U21" s="125"/>
      <c r="W21" s="125"/>
    </row>
    <row r="22" spans="1:24">
      <c r="Q22" s="125"/>
      <c r="R22" s="125"/>
      <c r="T22" s="125"/>
      <c r="U22" s="125"/>
      <c r="W22" s="125"/>
    </row>
    <row r="24" spans="1:24" ht="15" thickBot="1"/>
    <row r="25" spans="1:24" ht="16.5" thickBot="1">
      <c r="A25" s="143" t="s">
        <v>152</v>
      </c>
    </row>
    <row r="26" spans="1:24" ht="15" thickBot="1">
      <c r="A26" s="94"/>
      <c r="B26" s="149" t="s">
        <v>4</v>
      </c>
      <c r="C26" s="149" t="s">
        <v>8</v>
      </c>
      <c r="D26" s="149" t="s">
        <v>2</v>
      </c>
      <c r="E26" s="149" t="s">
        <v>9</v>
      </c>
      <c r="F26" s="149" t="s">
        <v>6</v>
      </c>
      <c r="G26" s="149" t="s">
        <v>10</v>
      </c>
      <c r="H26" s="149" t="s">
        <v>11</v>
      </c>
      <c r="I26" s="150" t="s">
        <v>16</v>
      </c>
    </row>
    <row r="27" spans="1:24">
      <c r="A27" s="103" t="s">
        <v>136</v>
      </c>
      <c r="B27" s="94">
        <f>B39*12%</f>
        <v>3504</v>
      </c>
      <c r="C27" s="95">
        <f>C39*12%</f>
        <v>4992</v>
      </c>
      <c r="D27" s="95">
        <f>D39*12%</f>
        <v>6480</v>
      </c>
      <c r="E27" s="95">
        <f>E39*13%</f>
        <v>4810</v>
      </c>
      <c r="F27" s="95">
        <f>F39*13%</f>
        <v>20189</v>
      </c>
      <c r="G27" s="95"/>
      <c r="H27" s="96"/>
      <c r="I27" s="113">
        <f>SUM(B27:H27)</f>
        <v>39975</v>
      </c>
    </row>
    <row r="28" spans="1:24">
      <c r="A28" s="103" t="s">
        <v>137</v>
      </c>
      <c r="B28" s="102">
        <f>B39*11%</f>
        <v>3212</v>
      </c>
      <c r="C28" s="93">
        <f>C39*11%</f>
        <v>4576</v>
      </c>
      <c r="D28" s="93">
        <f>D39*11%</f>
        <v>5940</v>
      </c>
      <c r="E28" s="93">
        <f>E39*12%</f>
        <v>4440</v>
      </c>
      <c r="F28" s="93">
        <f>F39*12%</f>
        <v>18636</v>
      </c>
      <c r="G28" s="93"/>
      <c r="H28" s="100"/>
      <c r="I28" s="113">
        <f t="shared" ref="I28:I40" si="4">SUM(B28:H28)</f>
        <v>36804</v>
      </c>
    </row>
    <row r="29" spans="1:24">
      <c r="A29" s="103" t="s">
        <v>138</v>
      </c>
      <c r="B29" s="102">
        <f>B39*10%</f>
        <v>2920</v>
      </c>
      <c r="C29" s="93">
        <f>C39*10%</f>
        <v>4160</v>
      </c>
      <c r="D29" s="93">
        <f>D39*10%</f>
        <v>5400</v>
      </c>
      <c r="E29" s="93">
        <f>E39*11%</f>
        <v>4070</v>
      </c>
      <c r="F29" s="93">
        <f>F39*11%</f>
        <v>17083</v>
      </c>
      <c r="G29" s="93"/>
      <c r="H29" s="100"/>
      <c r="I29" s="113">
        <f t="shared" si="4"/>
        <v>33633</v>
      </c>
    </row>
    <row r="30" spans="1:24">
      <c r="A30" s="103" t="s">
        <v>139</v>
      </c>
      <c r="B30" s="102">
        <f t="shared" ref="B30:H30" si="5">B39*10%</f>
        <v>2920</v>
      </c>
      <c r="C30" s="93">
        <f t="shared" si="5"/>
        <v>4160</v>
      </c>
      <c r="D30" s="93">
        <f t="shared" si="5"/>
        <v>5400</v>
      </c>
      <c r="E30" s="93">
        <f t="shared" si="5"/>
        <v>3700</v>
      </c>
      <c r="F30" s="93">
        <f t="shared" si="5"/>
        <v>15530</v>
      </c>
      <c r="G30" s="93">
        <f t="shared" si="5"/>
        <v>6430</v>
      </c>
      <c r="H30" s="100">
        <f t="shared" si="5"/>
        <v>11170</v>
      </c>
      <c r="I30" s="113">
        <f t="shared" si="4"/>
        <v>49310</v>
      </c>
    </row>
    <row r="31" spans="1:24">
      <c r="A31" s="103" t="s">
        <v>140</v>
      </c>
      <c r="B31" s="102">
        <f>B39*5%</f>
        <v>1460</v>
      </c>
      <c r="C31" s="93">
        <f>C39*5%</f>
        <v>2080</v>
      </c>
      <c r="D31" s="93">
        <f>D39*5%</f>
        <v>2700</v>
      </c>
      <c r="E31" s="93"/>
      <c r="F31" s="93"/>
      <c r="G31" s="93"/>
      <c r="H31" s="100"/>
      <c r="I31" s="113">
        <f t="shared" si="4"/>
        <v>6240</v>
      </c>
    </row>
    <row r="32" spans="1:24">
      <c r="A32" s="103" t="s">
        <v>141</v>
      </c>
      <c r="B32" s="102">
        <f>B39*5%</f>
        <v>1460</v>
      </c>
      <c r="C32" s="93">
        <f>C39*5%</f>
        <v>2080</v>
      </c>
      <c r="D32" s="93">
        <f>D39*5%</f>
        <v>2700</v>
      </c>
      <c r="E32" s="93"/>
      <c r="F32" s="93"/>
      <c r="G32" s="93"/>
      <c r="H32" s="100"/>
      <c r="I32" s="113">
        <f t="shared" si="4"/>
        <v>6240</v>
      </c>
    </row>
    <row r="33" spans="1:13">
      <c r="A33" s="103" t="s">
        <v>142</v>
      </c>
      <c r="B33" s="102"/>
      <c r="C33" s="93"/>
      <c r="D33" s="93"/>
      <c r="E33" s="93"/>
      <c r="F33" s="93"/>
      <c r="G33" s="93">
        <f>G39*18%</f>
        <v>11574</v>
      </c>
      <c r="H33" s="100">
        <f>H39*18%</f>
        <v>20106</v>
      </c>
      <c r="I33" s="113">
        <f t="shared" si="4"/>
        <v>31680</v>
      </c>
    </row>
    <row r="34" spans="1:13">
      <c r="A34" s="103" t="s">
        <v>143</v>
      </c>
      <c r="B34" s="102"/>
      <c r="C34" s="93"/>
      <c r="D34" s="93"/>
      <c r="E34" s="93"/>
      <c r="F34" s="93"/>
      <c r="G34" s="93">
        <f>G39*18%</f>
        <v>11574</v>
      </c>
      <c r="H34" s="100">
        <f>H39*18%</f>
        <v>20106</v>
      </c>
      <c r="I34" s="113">
        <f t="shared" si="4"/>
        <v>31680</v>
      </c>
    </row>
    <row r="35" spans="1:13">
      <c r="A35" s="103" t="s">
        <v>144</v>
      </c>
      <c r="B35" s="102"/>
      <c r="C35" s="93"/>
      <c r="D35" s="93"/>
      <c r="E35" s="93"/>
      <c r="F35" s="93"/>
      <c r="G35" s="93">
        <f>G39*11%</f>
        <v>7073</v>
      </c>
      <c r="H35" s="100">
        <f>H39*11%</f>
        <v>12287</v>
      </c>
      <c r="I35" s="113">
        <f t="shared" si="4"/>
        <v>19360</v>
      </c>
    </row>
    <row r="36" spans="1:13">
      <c r="A36" s="103" t="s">
        <v>145</v>
      </c>
      <c r="B36" s="102"/>
      <c r="C36" s="93"/>
      <c r="D36" s="93"/>
      <c r="E36" s="93"/>
      <c r="F36" s="93"/>
      <c r="G36" s="93">
        <f>G39*11%</f>
        <v>7073</v>
      </c>
      <c r="H36" s="100">
        <f>H39*11%</f>
        <v>12287</v>
      </c>
      <c r="I36" s="113">
        <f t="shared" si="4"/>
        <v>19360</v>
      </c>
    </row>
    <row r="37" spans="1:13" ht="15" thickBot="1">
      <c r="A37" s="109" t="s">
        <v>146</v>
      </c>
      <c r="B37" s="97"/>
      <c r="C37" s="98"/>
      <c r="D37" s="98"/>
      <c r="E37" s="98"/>
      <c r="F37" s="98"/>
      <c r="G37" s="98">
        <f>G39*15%</f>
        <v>9645</v>
      </c>
      <c r="H37" s="99">
        <f>H39*15%</f>
        <v>16755</v>
      </c>
      <c r="I37" s="113">
        <f t="shared" si="4"/>
        <v>26400</v>
      </c>
    </row>
    <row r="38" spans="1:13">
      <c r="A38" s="121" t="s">
        <v>148</v>
      </c>
      <c r="B38" s="122">
        <f>SUM(B27:B37)</f>
        <v>15476</v>
      </c>
      <c r="C38" s="122">
        <f t="shared" ref="C38" si="6">SUM(C27:C37)</f>
        <v>22048</v>
      </c>
      <c r="D38" s="122">
        <f t="shared" ref="D38" si="7">SUM(D27:D37)</f>
        <v>28620</v>
      </c>
      <c r="E38" s="122">
        <f t="shared" ref="E38" si="8">SUM(E27:E37)</f>
        <v>17020</v>
      </c>
      <c r="F38" s="122">
        <f t="shared" ref="F38" si="9">SUM(F27:F37)</f>
        <v>71438</v>
      </c>
      <c r="G38" s="122">
        <f t="shared" ref="G38" si="10">SUM(G27:G37)</f>
        <v>53369</v>
      </c>
      <c r="H38" s="122">
        <f t="shared" ref="H38" si="11">SUM(H27:H37)</f>
        <v>92711</v>
      </c>
      <c r="I38" s="123">
        <f t="shared" si="4"/>
        <v>300682</v>
      </c>
    </row>
    <row r="39" spans="1:13">
      <c r="A39" s="110" t="s">
        <v>157</v>
      </c>
      <c r="B39" s="111">
        <f>SUMIF(ADMISSION!$C$2:$C$88,'%'!B26,ADMISSION!$L$2:$L$88)</f>
        <v>29200</v>
      </c>
      <c r="C39" s="111">
        <f>SUMIF(ADMISSION!$C$2:$C$88,'%'!C26,ADMISSION!$L$2:$L$88)</f>
        <v>41600</v>
      </c>
      <c r="D39" s="111">
        <f>SUMIF(ADMISSION!$C$2:$C$88,'%'!D26,ADMISSION!$L$2:$L$88)</f>
        <v>54000</v>
      </c>
      <c r="E39" s="111">
        <f>SUMIF(ADMISSION!$C$2:$C$88,'%'!E26,ADMISSION!$L$2:$L$88)</f>
        <v>37000</v>
      </c>
      <c r="F39" s="111">
        <f>SUMIF(ADMISSION!$C$2:$C$88,'%'!F26,ADMISSION!$L$2:$L$88)</f>
        <v>155300</v>
      </c>
      <c r="G39" s="111">
        <f>SUMIF(ADMISSION!$C$2:$C$88,'%'!G26,ADMISSION!$L$2:$L$88)</f>
        <v>64300</v>
      </c>
      <c r="H39" s="111">
        <f>SUMIF(ADMISSION!$C$2:$C$88,'%'!H26,ADMISSION!$L$2:$L$88)</f>
        <v>111700</v>
      </c>
      <c r="I39" s="112">
        <f t="shared" si="4"/>
        <v>493100</v>
      </c>
    </row>
    <row r="40" spans="1:13" ht="15" thickBot="1">
      <c r="A40" s="114" t="s">
        <v>147</v>
      </c>
      <c r="B40" s="115">
        <f>B39-B38</f>
        <v>13724</v>
      </c>
      <c r="C40" s="115">
        <f t="shared" ref="C40" si="12">C39-C38</f>
        <v>19552</v>
      </c>
      <c r="D40" s="115">
        <f t="shared" ref="D40" si="13">D39-D38</f>
        <v>25380</v>
      </c>
      <c r="E40" s="115">
        <f t="shared" ref="E40" si="14">E39-E38</f>
        <v>19980</v>
      </c>
      <c r="F40" s="115">
        <f t="shared" ref="F40" si="15">F39-F38</f>
        <v>83862</v>
      </c>
      <c r="G40" s="115">
        <f t="shared" ref="G40" si="16">G39-G38</f>
        <v>10931</v>
      </c>
      <c r="H40" s="115">
        <f t="shared" ref="H40" si="17">H39-H38</f>
        <v>18989</v>
      </c>
      <c r="I40" s="116">
        <f t="shared" si="4"/>
        <v>192418</v>
      </c>
    </row>
    <row r="41" spans="1:13">
      <c r="I41" s="153">
        <f>12*12000</f>
        <v>144000</v>
      </c>
      <c r="J41" s="125"/>
    </row>
    <row r="42" spans="1:13">
      <c r="I42">
        <v>27500</v>
      </c>
      <c r="M42" s="125"/>
    </row>
    <row r="43" spans="1:13">
      <c r="I43">
        <v>10000</v>
      </c>
    </row>
  </sheetData>
  <mergeCells count="3">
    <mergeCell ref="O2:Q2"/>
    <mergeCell ref="R2:T2"/>
    <mergeCell ref="U2:W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22207-9658-4B88-ABB6-7C47430A9FF0}">
  <sheetPr codeName="Sheet7"/>
  <dimension ref="A1:M14"/>
  <sheetViews>
    <sheetView workbookViewId="0">
      <selection activeCell="K11" sqref="K11"/>
    </sheetView>
  </sheetViews>
  <sheetFormatPr defaultColWidth="28.625" defaultRowHeight="14.25"/>
  <cols>
    <col min="1" max="1" width="26.625" bestFit="1" customWidth="1"/>
    <col min="2" max="2" width="16.25" bestFit="1" customWidth="1"/>
    <col min="3" max="3" width="3.875" bestFit="1" customWidth="1"/>
    <col min="4" max="4" width="22.25" bestFit="1" customWidth="1"/>
    <col min="5" max="5" width="22.75" bestFit="1" customWidth="1"/>
    <col min="6" max="6" width="31.375" bestFit="1" customWidth="1"/>
    <col min="7" max="7" width="29.625" bestFit="1" customWidth="1"/>
    <col min="8" max="8" width="32.125" bestFit="1" customWidth="1"/>
    <col min="9" max="9" width="28" bestFit="1" customWidth="1"/>
    <col min="10" max="10" width="25.75" bestFit="1" customWidth="1"/>
    <col min="11" max="11" width="34.625" bestFit="1" customWidth="1"/>
    <col min="12" max="12" width="29.125" bestFit="1" customWidth="1"/>
    <col min="13" max="13" width="29.25" bestFit="1" customWidth="1"/>
  </cols>
  <sheetData>
    <row r="1" spans="1:13">
      <c r="A1" s="69" t="s">
        <v>36</v>
      </c>
      <c r="B1" s="69" t="s">
        <v>0</v>
      </c>
      <c r="C1" s="69" t="s">
        <v>1</v>
      </c>
      <c r="D1" s="69" t="s">
        <v>5</v>
      </c>
      <c r="E1" s="69" t="s">
        <v>7</v>
      </c>
      <c r="F1" s="69" t="s">
        <v>3</v>
      </c>
      <c r="G1" s="69" t="s">
        <v>4</v>
      </c>
      <c r="H1" s="69" t="s">
        <v>8</v>
      </c>
      <c r="I1" s="69" t="s">
        <v>2</v>
      </c>
      <c r="J1" s="69" t="s">
        <v>9</v>
      </c>
      <c r="K1" s="69" t="s">
        <v>6</v>
      </c>
      <c r="L1" s="69" t="s">
        <v>10</v>
      </c>
      <c r="M1" s="69" t="s">
        <v>11</v>
      </c>
    </row>
    <row r="2" spans="1:13">
      <c r="A2" t="str" cm="1">
        <f t="array" ref="A2">_xlfn._xlws.FILTER(ADMISSION!$B$2:$B$88,ADMISSION!$C$2:$C$88='Student''s Detail'!A1,"")</f>
        <v/>
      </c>
      <c r="B2" t="str" cm="1">
        <f t="array" ref="B2:B5">_xlfn._xlws.FILTER(ADMISSION!$B$2:$B$88,ADMISSION!$C$2:$C$88='Student''s Detail'!B1,"")</f>
        <v>Humera Zuber Shaikh</v>
      </c>
      <c r="C2" t="str" cm="1">
        <f t="array" ref="C2">_xlfn._xlws.FILTER(ADMISSION!$B$2:$B$88,ADMISSION!$C$2:$C$88='Student''s Detail'!C1,"")</f>
        <v/>
      </c>
      <c r="D2" t="str" cm="1">
        <f t="array" ref="D2:D4">_xlfn._xlws.FILTER(ADMISSION!$B$2:$B$88,ADMISSION!$C$2:$C$88='Student''s Detail'!D1,"")</f>
        <v>Ayan Gaffarbhai Selot</v>
      </c>
      <c r="E2" t="str" cm="1">
        <f t="array" ref="E2:E5">_xlfn._xlws.FILTER(ADMISSION!$B$2:$B$88,ADMISSION!$C$2:$C$88='Student''s Detail'!E1,"")</f>
        <v>Parvez Aspak Mandaviya</v>
      </c>
      <c r="F2" t="str" cm="1">
        <f t="array" ref="F2:F5">_xlfn._xlws.FILTER(ADMISSION!$B$2:$B$88,ADMISSION!$C$2:$C$88='Student''s Detail'!F1,"")</f>
        <v>Mariyam Banu Mo.Juned Fanibandha</v>
      </c>
      <c r="G2" t="str" cm="1">
        <f t="array" ref="G2:G6">_xlfn._xlws.FILTER(ADMISSION!$B$2:$B$88,ADMISSION!$C$2:$C$88='Student''s Detail'!G1,"")</f>
        <v>Mo.Sahezan Yusufbhai Kureshi</v>
      </c>
      <c r="H2" t="str" cm="1">
        <f t="array" ref="H2:H7">_xlfn._xlws.FILTER(ADMISSION!$B$2:$B$88,ADMISSION!$C$2:$C$88='Student''s Detail'!H1,"")</f>
        <v>Nafiskhan Iqbalkhan Pathan</v>
      </c>
      <c r="I2" t="str" cm="1">
        <f t="array" ref="I2:I8">_xlfn._xlws.FILTER(ADMISSION!$B$2:$B$88,ADMISSION!$C$2:$C$88='Student''s Detail'!I1,"")</f>
        <v>Farhan Akhtar Yusufbhai Kureshi</v>
      </c>
      <c r="J2" t="str" cm="1">
        <f t="array" ref="J2:J5">_xlfn._xlws.FILTER(ADMISSION!$B$2:$B$88,ADMISSION!$C$2:$C$88='Student''s Detail'!J1,"")</f>
        <v>Ilshabanu Yusuf Ahmad Khan</v>
      </c>
      <c r="K2" t="str" cm="1">
        <f t="array" ref="K2:K14">_xlfn._xlws.FILTER(ADMISSION!$B$2:$B$88,ADMISSION!$C$2:$C$88='Student''s Detail'!K1,"")</f>
        <v>Mo.Shakib Afzal Hussain Pathan</v>
      </c>
      <c r="L2" t="str" cm="1">
        <f t="array" ref="L2:L6">_xlfn._xlws.FILTER(ADMISSION!$B$2:$B$88,ADMISSION!$C$2:$C$88='Student''s Detail'!L1,"")</f>
        <v>Asad Imran Shaikh</v>
      </c>
      <c r="M2" t="str" cm="1">
        <f t="array" ref="M2:M9">_xlfn._xlws.FILTER(ADMISSION!$B$2:$B$88,ADMISSION!$C$2:$C$88='Student''s Detail'!M1,"")</f>
        <v>Nuresaba Javidgulam Shaikh</v>
      </c>
    </row>
    <row r="3" spans="1:13">
      <c r="B3" t="str">
        <v>Mo.Ali Jafar Shaikh</v>
      </c>
      <c r="D3" t="str">
        <v>Komal Vijaybhai Bhavekar</v>
      </c>
      <c r="E3" t="str">
        <v>Mo.Abdan Shakil Mansuri</v>
      </c>
      <c r="F3" t="str">
        <v>Heena Vijaybhai Bhavekar</v>
      </c>
      <c r="G3" t="str">
        <v>Maliha Banu Mo.Juned Fanibandha</v>
      </c>
      <c r="H3" t="str">
        <v>Firdos Banu Abdul Naim Shaikh</v>
      </c>
      <c r="I3" t="str">
        <v>Aaisha Begam Aabidali Saiyed</v>
      </c>
      <c r="J3" t="str">
        <v>Mahenoor Raufbhai Dhariwala</v>
      </c>
      <c r="K3" t="str">
        <v>Munavvar Mujaffar Shaikh</v>
      </c>
      <c r="L3" t="str">
        <v>Umar Munavvar Hussainn Mansuri</v>
      </c>
      <c r="M3" t="str">
        <v>Zarminbanu Abdul Zahir Battiwala</v>
      </c>
    </row>
    <row r="4" spans="1:13">
      <c r="B4" t="str">
        <v>Inaya Mohammad Azam Khan</v>
      </c>
      <c r="D4" t="str">
        <v>Alimabanu Mohammad Azam Khan</v>
      </c>
      <c r="E4" t="str">
        <v>Fayeza Banu Naim Shaikh</v>
      </c>
      <c r="F4" t="str">
        <v>Mo.Umar Jafar Shaikh</v>
      </c>
      <c r="G4" t="str">
        <v>Kinjal Vujaybhai Bhavekar</v>
      </c>
      <c r="H4" t="str">
        <v>Mohammed Fahad Mo.Iqbal Pittalwala</v>
      </c>
      <c r="I4" t="str">
        <v>Tanishka Vijaybhai Bhavekar</v>
      </c>
      <c r="J4" t="str">
        <v>Prince Sanjaybhai Subedar</v>
      </c>
      <c r="K4" t="str">
        <v>Ayasha Azhruddin Shaikh</v>
      </c>
      <c r="L4" t="str">
        <v>Juned Bhohariya</v>
      </c>
      <c r="M4" t="str">
        <v>Mohammad Irfan Abduljalil Kharadi</v>
      </c>
    </row>
    <row r="5" spans="1:13">
      <c r="B5" t="str">
        <v>Mohammad Mahir Zahir Multani</v>
      </c>
      <c r="E5" t="str">
        <v>Aahil abidbhai kureshi</v>
      </c>
      <c r="F5" t="str">
        <v>Saima Mujehit Shiekh</v>
      </c>
      <c r="G5" t="str">
        <v>Ankit Sanmukhbhai Solanki</v>
      </c>
      <c r="H5" t="str">
        <v>Adnan Zuber Shaikh</v>
      </c>
      <c r="I5" t="str">
        <v>Aatif Aiyub Choksi</v>
      </c>
      <c r="J5" t="str">
        <v>Mohammad Sarfaraj Rajakbhai Bilakhya</v>
      </c>
      <c r="K5" t="str">
        <v>Arman Mujehit Shaikh</v>
      </c>
      <c r="L5" t="str">
        <v>Aamir Shaikh</v>
      </c>
      <c r="M5" t="str">
        <v>Mashira Mo.Juned Fanibandha</v>
      </c>
    </row>
    <row r="6" spans="1:13">
      <c r="G6" t="str">
        <v>Shahid Zuber Shaikh</v>
      </c>
      <c r="H6" t="str">
        <v>Ujefa Yasinbhai Selot</v>
      </c>
      <c r="I6" t="str">
        <v>Juvariyyah Ilyas Patel</v>
      </c>
      <c r="K6" t="str">
        <v>Mariya Mo.Juned Fanibandha</v>
      </c>
      <c r="L6" t="str">
        <v>Humaira Ilyas Lakkad</v>
      </c>
      <c r="M6" t="str">
        <v>Zaynab Ilyas Patel</v>
      </c>
    </row>
    <row r="7" spans="1:13">
      <c r="H7" t="str">
        <v>Samir Rahimbhai Mahetar</v>
      </c>
      <c r="I7" t="str">
        <v>Hajra Faiz mohammad Chichi</v>
      </c>
      <c r="K7" t="str">
        <v>Mahek Khatun Jahirul Hasan Khan</v>
      </c>
      <c r="M7" t="str">
        <v>Rajiuddin Rafiuddin Shaikh</v>
      </c>
    </row>
    <row r="8" spans="1:13">
      <c r="I8" t="str">
        <v xml:space="preserve">Mo. Nawaz mo. Irfan Shaikh </v>
      </c>
      <c r="K8" t="str">
        <v>Aafiya Bibi Mo. Majid Shaikh</v>
      </c>
      <c r="M8" t="str">
        <v>Smit Sureshbhai Solanki</v>
      </c>
    </row>
    <row r="9" spans="1:13">
      <c r="K9" t="str">
        <v>Abuzar Afzal Khan</v>
      </c>
      <c r="M9" t="str">
        <v>Rabiya Mustakbhai Solanki</v>
      </c>
    </row>
    <row r="10" spans="1:13">
      <c r="K10" t="str">
        <v>Mohammad Aashir Khursidhusen Shaikh</v>
      </c>
    </row>
    <row r="11" spans="1:13">
      <c r="K11" t="str">
        <v>Misbabanu Ismailmiya Malek</v>
      </c>
    </row>
    <row r="12" spans="1:13">
      <c r="K12" t="str">
        <v>Aliya Faiz mohammad Chichi</v>
      </c>
    </row>
    <row r="13" spans="1:13">
      <c r="K13" t="str">
        <v>Halima Rafik shaikh</v>
      </c>
    </row>
    <row r="14" spans="1:13">
      <c r="K14" t="str">
        <v>Ali Altafbhai Motiyani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12001A-B287-488B-96AB-90DDB2341BE1}">
          <x14:formula1>
            <xm:f>ADMISSION!$S$3:$S$13</xm:f>
          </x14:formula1>
          <xm:sqref>E12 D3:D12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26D4A-7D63-4BD6-A49A-AECBA0E0E160}">
  <sheetPr codeName="Sheet9"/>
  <dimension ref="A1:E102"/>
  <sheetViews>
    <sheetView workbookViewId="0">
      <selection activeCell="G6" sqref="G6"/>
    </sheetView>
  </sheetViews>
  <sheetFormatPr defaultRowHeight="14.25"/>
  <cols>
    <col min="1" max="1" width="10.125" style="45" bestFit="1" customWidth="1"/>
    <col min="2" max="2" width="9" style="207"/>
    <col min="3" max="3" width="26.25" style="45" bestFit="1" customWidth="1"/>
    <col min="4" max="4" width="15.125" style="207" bestFit="1" customWidth="1"/>
    <col min="5" max="5" width="12.5" style="207" bestFit="1" customWidth="1"/>
  </cols>
  <sheetData>
    <row r="1" spans="1:5">
      <c r="E1" s="212">
        <f>B102</f>
        <v>1800</v>
      </c>
    </row>
    <row r="2" spans="1:5">
      <c r="A2" s="204" t="s">
        <v>31</v>
      </c>
      <c r="B2" s="205" t="s">
        <v>198</v>
      </c>
      <c r="C2" s="205" t="s">
        <v>199</v>
      </c>
      <c r="D2" s="205" t="s">
        <v>200</v>
      </c>
      <c r="E2" s="209" t="s">
        <v>203</v>
      </c>
    </row>
    <row r="3" spans="1:5">
      <c r="A3" s="208">
        <v>45484</v>
      </c>
      <c r="B3" s="126">
        <v>1800</v>
      </c>
      <c r="C3" s="206" t="s">
        <v>202</v>
      </c>
      <c r="D3" s="126" t="s">
        <v>201</v>
      </c>
      <c r="E3" s="211">
        <f>B3</f>
        <v>1800</v>
      </c>
    </row>
    <row r="4" spans="1:5">
      <c r="A4" s="206"/>
      <c r="B4" s="126"/>
      <c r="C4" s="206"/>
      <c r="D4" s="126"/>
      <c r="E4" s="210" t="str">
        <f>IF(ISBLANK(B4)," ",E3+B4)</f>
        <v xml:space="preserve"> </v>
      </c>
    </row>
    <row r="5" spans="1:5">
      <c r="A5" s="206"/>
      <c r="B5" s="126"/>
      <c r="C5" s="206"/>
      <c r="D5" s="126"/>
      <c r="E5" s="210" t="str">
        <f t="shared" ref="E5:E68" si="0">IF(ISBLANK(B5)," ",E4+B5)</f>
        <v xml:space="preserve"> </v>
      </c>
    </row>
    <row r="6" spans="1:5">
      <c r="A6" s="206"/>
      <c r="B6" s="126"/>
      <c r="C6" s="206"/>
      <c r="D6" s="126"/>
      <c r="E6" s="210" t="str">
        <f t="shared" si="0"/>
        <v xml:space="preserve"> </v>
      </c>
    </row>
    <row r="7" spans="1:5">
      <c r="A7" s="206"/>
      <c r="B7" s="126"/>
      <c r="C7" s="206"/>
      <c r="D7" s="126"/>
      <c r="E7" s="210" t="str">
        <f t="shared" si="0"/>
        <v xml:space="preserve"> </v>
      </c>
    </row>
    <row r="8" spans="1:5">
      <c r="A8" s="206"/>
      <c r="B8" s="126"/>
      <c r="C8" s="206"/>
      <c r="D8" s="126"/>
      <c r="E8" s="210" t="str">
        <f t="shared" si="0"/>
        <v xml:space="preserve"> </v>
      </c>
    </row>
    <row r="9" spans="1:5">
      <c r="A9" s="206"/>
      <c r="B9" s="126"/>
      <c r="C9" s="206"/>
      <c r="D9" s="126"/>
      <c r="E9" s="210" t="str">
        <f t="shared" si="0"/>
        <v xml:space="preserve"> </v>
      </c>
    </row>
    <row r="10" spans="1:5">
      <c r="A10" s="206"/>
      <c r="B10" s="126"/>
      <c r="C10" s="206"/>
      <c r="D10" s="126"/>
      <c r="E10" s="210" t="str">
        <f t="shared" si="0"/>
        <v xml:space="preserve"> </v>
      </c>
    </row>
    <row r="11" spans="1:5">
      <c r="A11" s="206"/>
      <c r="B11" s="126"/>
      <c r="C11" s="206"/>
      <c r="D11" s="126"/>
      <c r="E11" s="210" t="str">
        <f t="shared" si="0"/>
        <v xml:space="preserve"> </v>
      </c>
    </row>
    <row r="12" spans="1:5">
      <c r="A12" s="206"/>
      <c r="B12" s="126"/>
      <c r="C12" s="206"/>
      <c r="D12" s="126"/>
      <c r="E12" s="210" t="str">
        <f t="shared" si="0"/>
        <v xml:space="preserve"> </v>
      </c>
    </row>
    <row r="13" spans="1:5">
      <c r="A13" s="206"/>
      <c r="B13" s="126"/>
      <c r="C13" s="206"/>
      <c r="D13" s="126"/>
      <c r="E13" s="210" t="str">
        <f t="shared" si="0"/>
        <v xml:space="preserve"> </v>
      </c>
    </row>
    <row r="14" spans="1:5">
      <c r="A14" s="206"/>
      <c r="B14" s="126"/>
      <c r="C14" s="206"/>
      <c r="D14" s="126"/>
      <c r="E14" s="210" t="str">
        <f t="shared" si="0"/>
        <v xml:space="preserve"> </v>
      </c>
    </row>
    <row r="15" spans="1:5">
      <c r="A15" s="206"/>
      <c r="B15" s="126"/>
      <c r="C15" s="206"/>
      <c r="D15" s="126"/>
      <c r="E15" s="210" t="str">
        <f t="shared" si="0"/>
        <v xml:space="preserve"> </v>
      </c>
    </row>
    <row r="16" spans="1:5">
      <c r="A16" s="206"/>
      <c r="B16" s="126"/>
      <c r="C16" s="206"/>
      <c r="D16" s="126"/>
      <c r="E16" s="210" t="str">
        <f t="shared" si="0"/>
        <v xml:space="preserve"> </v>
      </c>
    </row>
    <row r="17" spans="1:5">
      <c r="A17" s="206"/>
      <c r="B17" s="126"/>
      <c r="C17" s="206"/>
      <c r="D17" s="126"/>
      <c r="E17" s="210" t="str">
        <f t="shared" si="0"/>
        <v xml:space="preserve"> </v>
      </c>
    </row>
    <row r="18" spans="1:5">
      <c r="A18" s="206"/>
      <c r="B18" s="126"/>
      <c r="C18" s="206"/>
      <c r="D18" s="126"/>
      <c r="E18" s="210" t="str">
        <f t="shared" si="0"/>
        <v xml:space="preserve"> </v>
      </c>
    </row>
    <row r="19" spans="1:5">
      <c r="A19" s="206"/>
      <c r="B19" s="126"/>
      <c r="C19" s="206"/>
      <c r="D19" s="126"/>
      <c r="E19" s="210" t="str">
        <f t="shared" si="0"/>
        <v xml:space="preserve"> </v>
      </c>
    </row>
    <row r="20" spans="1:5">
      <c r="A20" s="206"/>
      <c r="B20" s="126"/>
      <c r="C20" s="206"/>
      <c r="D20" s="126"/>
      <c r="E20" s="210" t="str">
        <f t="shared" si="0"/>
        <v xml:space="preserve"> </v>
      </c>
    </row>
    <row r="21" spans="1:5">
      <c r="A21" s="206"/>
      <c r="B21" s="126"/>
      <c r="C21" s="206"/>
      <c r="D21" s="126"/>
      <c r="E21" s="210" t="str">
        <f t="shared" si="0"/>
        <v xml:space="preserve"> </v>
      </c>
    </row>
    <row r="22" spans="1:5">
      <c r="A22" s="206"/>
      <c r="B22" s="126"/>
      <c r="C22" s="206"/>
      <c r="D22" s="126"/>
      <c r="E22" s="210" t="str">
        <f t="shared" si="0"/>
        <v xml:space="preserve"> </v>
      </c>
    </row>
    <row r="23" spans="1:5">
      <c r="A23" s="206"/>
      <c r="B23" s="126"/>
      <c r="C23" s="206"/>
      <c r="D23" s="126"/>
      <c r="E23" s="210" t="str">
        <f t="shared" si="0"/>
        <v xml:space="preserve"> </v>
      </c>
    </row>
    <row r="24" spans="1:5">
      <c r="A24" s="206"/>
      <c r="B24" s="126"/>
      <c r="C24" s="206"/>
      <c r="D24" s="126"/>
      <c r="E24" s="210" t="str">
        <f t="shared" si="0"/>
        <v xml:space="preserve"> </v>
      </c>
    </row>
    <row r="25" spans="1:5">
      <c r="A25" s="206"/>
      <c r="B25" s="126"/>
      <c r="C25" s="206"/>
      <c r="D25" s="126"/>
      <c r="E25" s="210" t="str">
        <f t="shared" si="0"/>
        <v xml:space="preserve"> </v>
      </c>
    </row>
    <row r="26" spans="1:5">
      <c r="A26" s="206"/>
      <c r="B26" s="126"/>
      <c r="C26" s="206"/>
      <c r="D26" s="126"/>
      <c r="E26" s="210" t="str">
        <f t="shared" si="0"/>
        <v xml:space="preserve"> </v>
      </c>
    </row>
    <row r="27" spans="1:5">
      <c r="A27" s="206"/>
      <c r="B27" s="126"/>
      <c r="C27" s="206"/>
      <c r="D27" s="126"/>
      <c r="E27" s="210" t="str">
        <f t="shared" si="0"/>
        <v xml:space="preserve"> </v>
      </c>
    </row>
    <row r="28" spans="1:5">
      <c r="A28" s="206"/>
      <c r="B28" s="126"/>
      <c r="C28" s="206"/>
      <c r="D28" s="126"/>
      <c r="E28" s="210" t="str">
        <f t="shared" si="0"/>
        <v xml:space="preserve"> </v>
      </c>
    </row>
    <row r="29" spans="1:5">
      <c r="A29" s="206"/>
      <c r="B29" s="126"/>
      <c r="C29" s="206"/>
      <c r="D29" s="126"/>
      <c r="E29" s="210" t="str">
        <f t="shared" si="0"/>
        <v xml:space="preserve"> </v>
      </c>
    </row>
    <row r="30" spans="1:5">
      <c r="A30" s="206"/>
      <c r="B30" s="126"/>
      <c r="C30" s="206"/>
      <c r="D30" s="126"/>
      <c r="E30" s="210" t="str">
        <f t="shared" si="0"/>
        <v xml:space="preserve"> </v>
      </c>
    </row>
    <row r="31" spans="1:5">
      <c r="A31" s="206"/>
      <c r="B31" s="126"/>
      <c r="C31" s="206"/>
      <c r="D31" s="126"/>
      <c r="E31" s="210" t="str">
        <f t="shared" si="0"/>
        <v xml:space="preserve"> </v>
      </c>
    </row>
    <row r="32" spans="1:5">
      <c r="A32" s="206"/>
      <c r="B32" s="126"/>
      <c r="C32" s="206"/>
      <c r="D32" s="126"/>
      <c r="E32" s="210" t="str">
        <f t="shared" si="0"/>
        <v xml:space="preserve"> </v>
      </c>
    </row>
    <row r="33" spans="1:5">
      <c r="A33" s="206"/>
      <c r="B33" s="126"/>
      <c r="C33" s="206"/>
      <c r="D33" s="126"/>
      <c r="E33" s="210" t="str">
        <f t="shared" si="0"/>
        <v xml:space="preserve"> </v>
      </c>
    </row>
    <row r="34" spans="1:5">
      <c r="A34" s="206"/>
      <c r="B34" s="126"/>
      <c r="C34" s="206"/>
      <c r="D34" s="126"/>
      <c r="E34" s="210" t="str">
        <f t="shared" si="0"/>
        <v xml:space="preserve"> </v>
      </c>
    </row>
    <row r="35" spans="1:5">
      <c r="A35" s="206"/>
      <c r="B35" s="126"/>
      <c r="C35" s="206"/>
      <c r="D35" s="126"/>
      <c r="E35" s="210" t="str">
        <f t="shared" si="0"/>
        <v xml:space="preserve"> </v>
      </c>
    </row>
    <row r="36" spans="1:5">
      <c r="A36" s="206"/>
      <c r="B36" s="126"/>
      <c r="C36" s="206"/>
      <c r="D36" s="126"/>
      <c r="E36" s="210" t="str">
        <f t="shared" si="0"/>
        <v xml:space="preserve"> </v>
      </c>
    </row>
    <row r="37" spans="1:5">
      <c r="A37" s="206"/>
      <c r="B37" s="126"/>
      <c r="C37" s="206"/>
      <c r="D37" s="126"/>
      <c r="E37" s="210" t="str">
        <f t="shared" si="0"/>
        <v xml:space="preserve"> </v>
      </c>
    </row>
    <row r="38" spans="1:5">
      <c r="A38" s="206"/>
      <c r="B38" s="126"/>
      <c r="C38" s="206"/>
      <c r="D38" s="126"/>
      <c r="E38" s="210" t="str">
        <f t="shared" si="0"/>
        <v xml:space="preserve"> </v>
      </c>
    </row>
    <row r="39" spans="1:5">
      <c r="A39" s="206"/>
      <c r="B39" s="126"/>
      <c r="C39" s="206"/>
      <c r="D39" s="126"/>
      <c r="E39" s="210" t="str">
        <f t="shared" si="0"/>
        <v xml:space="preserve"> </v>
      </c>
    </row>
    <row r="40" spans="1:5">
      <c r="A40" s="206"/>
      <c r="B40" s="126"/>
      <c r="C40" s="206"/>
      <c r="D40" s="126"/>
      <c r="E40" s="210" t="str">
        <f t="shared" si="0"/>
        <v xml:space="preserve"> </v>
      </c>
    </row>
    <row r="41" spans="1:5">
      <c r="A41" s="206"/>
      <c r="B41" s="126"/>
      <c r="C41" s="206"/>
      <c r="D41" s="126"/>
      <c r="E41" s="210" t="str">
        <f t="shared" si="0"/>
        <v xml:space="preserve"> </v>
      </c>
    </row>
    <row r="42" spans="1:5">
      <c r="A42" s="206"/>
      <c r="B42" s="126"/>
      <c r="C42" s="206"/>
      <c r="D42" s="126"/>
      <c r="E42" s="210" t="str">
        <f t="shared" si="0"/>
        <v xml:space="preserve"> </v>
      </c>
    </row>
    <row r="43" spans="1:5">
      <c r="A43" s="206"/>
      <c r="B43" s="126"/>
      <c r="C43" s="206"/>
      <c r="D43" s="126"/>
      <c r="E43" s="210" t="str">
        <f t="shared" si="0"/>
        <v xml:space="preserve"> </v>
      </c>
    </row>
    <row r="44" spans="1:5">
      <c r="A44" s="206"/>
      <c r="B44" s="126"/>
      <c r="C44" s="206"/>
      <c r="D44" s="126"/>
      <c r="E44" s="210" t="str">
        <f t="shared" si="0"/>
        <v xml:space="preserve"> </v>
      </c>
    </row>
    <row r="45" spans="1:5">
      <c r="A45" s="206"/>
      <c r="B45" s="126"/>
      <c r="C45" s="206"/>
      <c r="D45" s="126"/>
      <c r="E45" s="210" t="str">
        <f t="shared" si="0"/>
        <v xml:space="preserve"> </v>
      </c>
    </row>
    <row r="46" spans="1:5">
      <c r="A46" s="206"/>
      <c r="B46" s="126"/>
      <c r="C46" s="206"/>
      <c r="D46" s="126"/>
      <c r="E46" s="210" t="str">
        <f t="shared" si="0"/>
        <v xml:space="preserve"> </v>
      </c>
    </row>
    <row r="47" spans="1:5">
      <c r="A47" s="206"/>
      <c r="B47" s="126"/>
      <c r="C47" s="206"/>
      <c r="D47" s="126"/>
      <c r="E47" s="210" t="str">
        <f t="shared" si="0"/>
        <v xml:space="preserve"> </v>
      </c>
    </row>
    <row r="48" spans="1:5">
      <c r="A48" s="206"/>
      <c r="B48" s="126"/>
      <c r="C48" s="206"/>
      <c r="D48" s="126"/>
      <c r="E48" s="210" t="str">
        <f t="shared" si="0"/>
        <v xml:space="preserve"> </v>
      </c>
    </row>
    <row r="49" spans="1:5">
      <c r="A49" s="206"/>
      <c r="B49" s="126"/>
      <c r="C49" s="206"/>
      <c r="D49" s="126"/>
      <c r="E49" s="210" t="str">
        <f t="shared" si="0"/>
        <v xml:space="preserve"> </v>
      </c>
    </row>
    <row r="50" spans="1:5">
      <c r="A50" s="206"/>
      <c r="B50" s="126"/>
      <c r="C50" s="206"/>
      <c r="D50" s="126"/>
      <c r="E50" s="210" t="str">
        <f t="shared" si="0"/>
        <v xml:space="preserve"> </v>
      </c>
    </row>
    <row r="51" spans="1:5">
      <c r="A51" s="206"/>
      <c r="B51" s="126"/>
      <c r="C51" s="206"/>
      <c r="D51" s="126"/>
      <c r="E51" s="210" t="str">
        <f t="shared" si="0"/>
        <v xml:space="preserve"> </v>
      </c>
    </row>
    <row r="52" spans="1:5">
      <c r="A52" s="206"/>
      <c r="B52" s="126"/>
      <c r="C52" s="206"/>
      <c r="D52" s="126"/>
      <c r="E52" s="210" t="str">
        <f t="shared" si="0"/>
        <v xml:space="preserve"> </v>
      </c>
    </row>
    <row r="53" spans="1:5">
      <c r="A53" s="206"/>
      <c r="B53" s="126"/>
      <c r="C53" s="206"/>
      <c r="D53" s="126"/>
      <c r="E53" s="210" t="str">
        <f t="shared" si="0"/>
        <v xml:space="preserve"> </v>
      </c>
    </row>
    <row r="54" spans="1:5">
      <c r="A54" s="206"/>
      <c r="B54" s="126"/>
      <c r="C54" s="206"/>
      <c r="D54" s="126"/>
      <c r="E54" s="210" t="str">
        <f t="shared" si="0"/>
        <v xml:space="preserve"> </v>
      </c>
    </row>
    <row r="55" spans="1:5">
      <c r="A55" s="206"/>
      <c r="B55" s="126"/>
      <c r="C55" s="206"/>
      <c r="D55" s="126"/>
      <c r="E55" s="210" t="str">
        <f t="shared" si="0"/>
        <v xml:space="preserve"> </v>
      </c>
    </row>
    <row r="56" spans="1:5">
      <c r="A56" s="206"/>
      <c r="B56" s="126"/>
      <c r="C56" s="206"/>
      <c r="D56" s="126"/>
      <c r="E56" s="210" t="str">
        <f t="shared" si="0"/>
        <v xml:space="preserve"> </v>
      </c>
    </row>
    <row r="57" spans="1:5">
      <c r="A57" s="206"/>
      <c r="B57" s="126"/>
      <c r="C57" s="206"/>
      <c r="D57" s="126"/>
      <c r="E57" s="210" t="str">
        <f t="shared" si="0"/>
        <v xml:space="preserve"> </v>
      </c>
    </row>
    <row r="58" spans="1:5">
      <c r="A58" s="206"/>
      <c r="B58" s="126"/>
      <c r="C58" s="206"/>
      <c r="D58" s="126"/>
      <c r="E58" s="210" t="str">
        <f t="shared" si="0"/>
        <v xml:space="preserve"> </v>
      </c>
    </row>
    <row r="59" spans="1:5">
      <c r="A59" s="206"/>
      <c r="B59" s="126"/>
      <c r="C59" s="206"/>
      <c r="D59" s="126"/>
      <c r="E59" s="210" t="str">
        <f t="shared" si="0"/>
        <v xml:space="preserve"> </v>
      </c>
    </row>
    <row r="60" spans="1:5">
      <c r="A60" s="206"/>
      <c r="B60" s="126"/>
      <c r="C60" s="206"/>
      <c r="D60" s="126"/>
      <c r="E60" s="210" t="str">
        <f t="shared" si="0"/>
        <v xml:space="preserve"> </v>
      </c>
    </row>
    <row r="61" spans="1:5">
      <c r="A61" s="206"/>
      <c r="B61" s="126"/>
      <c r="C61" s="206"/>
      <c r="D61" s="126"/>
      <c r="E61" s="210" t="str">
        <f t="shared" si="0"/>
        <v xml:space="preserve"> </v>
      </c>
    </row>
    <row r="62" spans="1:5">
      <c r="A62" s="206"/>
      <c r="B62" s="126"/>
      <c r="C62" s="206"/>
      <c r="D62" s="126"/>
      <c r="E62" s="210" t="str">
        <f t="shared" si="0"/>
        <v xml:space="preserve"> </v>
      </c>
    </row>
    <row r="63" spans="1:5">
      <c r="A63" s="206"/>
      <c r="B63" s="126"/>
      <c r="C63" s="206"/>
      <c r="D63" s="126"/>
      <c r="E63" s="210" t="str">
        <f t="shared" si="0"/>
        <v xml:space="preserve"> </v>
      </c>
    </row>
    <row r="64" spans="1:5">
      <c r="A64" s="206"/>
      <c r="B64" s="126"/>
      <c r="C64" s="206"/>
      <c r="D64" s="126"/>
      <c r="E64" s="210" t="str">
        <f t="shared" si="0"/>
        <v xml:space="preserve"> </v>
      </c>
    </row>
    <row r="65" spans="1:5">
      <c r="A65" s="206"/>
      <c r="B65" s="126"/>
      <c r="C65" s="206"/>
      <c r="D65" s="126"/>
      <c r="E65" s="210" t="str">
        <f t="shared" si="0"/>
        <v xml:space="preserve"> </v>
      </c>
    </row>
    <row r="66" spans="1:5">
      <c r="A66" s="206"/>
      <c r="B66" s="126"/>
      <c r="C66" s="206"/>
      <c r="D66" s="126"/>
      <c r="E66" s="210" t="str">
        <f t="shared" si="0"/>
        <v xml:space="preserve"> </v>
      </c>
    </row>
    <row r="67" spans="1:5">
      <c r="A67" s="206"/>
      <c r="B67" s="126"/>
      <c r="C67" s="206"/>
      <c r="D67" s="126"/>
      <c r="E67" s="210" t="str">
        <f t="shared" si="0"/>
        <v xml:space="preserve"> </v>
      </c>
    </row>
    <row r="68" spans="1:5">
      <c r="A68" s="206"/>
      <c r="B68" s="126"/>
      <c r="C68" s="206"/>
      <c r="D68" s="126"/>
      <c r="E68" s="210" t="str">
        <f t="shared" si="0"/>
        <v xml:space="preserve"> </v>
      </c>
    </row>
    <row r="69" spans="1:5">
      <c r="A69" s="206"/>
      <c r="B69" s="126"/>
      <c r="C69" s="206"/>
      <c r="D69" s="126"/>
      <c r="E69" s="210" t="str">
        <f t="shared" ref="E69:E101" si="1">IF(ISBLANK(B69)," ",E68+B69)</f>
        <v xml:space="preserve"> </v>
      </c>
    </row>
    <row r="70" spans="1:5">
      <c r="A70" s="206"/>
      <c r="B70" s="126"/>
      <c r="C70" s="206"/>
      <c r="D70" s="126"/>
      <c r="E70" s="210" t="str">
        <f t="shared" si="1"/>
        <v xml:space="preserve"> </v>
      </c>
    </row>
    <row r="71" spans="1:5">
      <c r="A71" s="206"/>
      <c r="B71" s="126"/>
      <c r="C71" s="206"/>
      <c r="D71" s="126"/>
      <c r="E71" s="210" t="str">
        <f t="shared" si="1"/>
        <v xml:space="preserve"> </v>
      </c>
    </row>
    <row r="72" spans="1:5">
      <c r="A72" s="206"/>
      <c r="B72" s="126"/>
      <c r="C72" s="206"/>
      <c r="D72" s="126"/>
      <c r="E72" s="210" t="str">
        <f t="shared" si="1"/>
        <v xml:space="preserve"> </v>
      </c>
    </row>
    <row r="73" spans="1:5">
      <c r="A73" s="206"/>
      <c r="B73" s="126"/>
      <c r="C73" s="206"/>
      <c r="D73" s="126"/>
      <c r="E73" s="210" t="str">
        <f t="shared" si="1"/>
        <v xml:space="preserve"> </v>
      </c>
    </row>
    <row r="74" spans="1:5">
      <c r="A74" s="206"/>
      <c r="B74" s="126"/>
      <c r="C74" s="206"/>
      <c r="D74" s="126"/>
      <c r="E74" s="210" t="str">
        <f t="shared" si="1"/>
        <v xml:space="preserve"> </v>
      </c>
    </row>
    <row r="75" spans="1:5">
      <c r="A75" s="206"/>
      <c r="B75" s="126"/>
      <c r="C75" s="206"/>
      <c r="D75" s="126"/>
      <c r="E75" s="210" t="str">
        <f t="shared" si="1"/>
        <v xml:space="preserve"> </v>
      </c>
    </row>
    <row r="76" spans="1:5">
      <c r="A76" s="206"/>
      <c r="B76" s="126"/>
      <c r="C76" s="206"/>
      <c r="D76" s="126"/>
      <c r="E76" s="210" t="str">
        <f t="shared" si="1"/>
        <v xml:space="preserve"> </v>
      </c>
    </row>
    <row r="77" spans="1:5">
      <c r="A77" s="206"/>
      <c r="B77" s="126"/>
      <c r="C77" s="206"/>
      <c r="D77" s="126"/>
      <c r="E77" s="210" t="str">
        <f t="shared" si="1"/>
        <v xml:space="preserve"> </v>
      </c>
    </row>
    <row r="78" spans="1:5">
      <c r="A78" s="206"/>
      <c r="B78" s="126"/>
      <c r="C78" s="206"/>
      <c r="D78" s="126"/>
      <c r="E78" s="210" t="str">
        <f t="shared" si="1"/>
        <v xml:space="preserve"> </v>
      </c>
    </row>
    <row r="79" spans="1:5">
      <c r="A79" s="206"/>
      <c r="B79" s="126"/>
      <c r="C79" s="206"/>
      <c r="D79" s="126"/>
      <c r="E79" s="210" t="str">
        <f t="shared" si="1"/>
        <v xml:space="preserve"> </v>
      </c>
    </row>
    <row r="80" spans="1:5">
      <c r="A80" s="206"/>
      <c r="B80" s="126"/>
      <c r="C80" s="206"/>
      <c r="D80" s="126"/>
      <c r="E80" s="210" t="str">
        <f t="shared" si="1"/>
        <v xml:space="preserve"> </v>
      </c>
    </row>
    <row r="81" spans="1:5">
      <c r="A81" s="206"/>
      <c r="B81" s="126"/>
      <c r="C81" s="206"/>
      <c r="D81" s="126"/>
      <c r="E81" s="210" t="str">
        <f t="shared" si="1"/>
        <v xml:space="preserve"> </v>
      </c>
    </row>
    <row r="82" spans="1:5">
      <c r="A82" s="206"/>
      <c r="B82" s="126"/>
      <c r="C82" s="206"/>
      <c r="D82" s="126"/>
      <c r="E82" s="210" t="str">
        <f t="shared" si="1"/>
        <v xml:space="preserve"> </v>
      </c>
    </row>
    <row r="83" spans="1:5">
      <c r="A83" s="206"/>
      <c r="B83" s="126"/>
      <c r="C83" s="206"/>
      <c r="D83" s="126"/>
      <c r="E83" s="210" t="str">
        <f t="shared" si="1"/>
        <v xml:space="preserve"> </v>
      </c>
    </row>
    <row r="84" spans="1:5">
      <c r="A84" s="206"/>
      <c r="B84" s="126"/>
      <c r="C84" s="206"/>
      <c r="D84" s="126"/>
      <c r="E84" s="210" t="str">
        <f t="shared" si="1"/>
        <v xml:space="preserve"> </v>
      </c>
    </row>
    <row r="85" spans="1:5">
      <c r="A85" s="206"/>
      <c r="B85" s="126"/>
      <c r="C85" s="206"/>
      <c r="D85" s="126"/>
      <c r="E85" s="210" t="str">
        <f t="shared" si="1"/>
        <v xml:space="preserve"> </v>
      </c>
    </row>
    <row r="86" spans="1:5">
      <c r="A86" s="206"/>
      <c r="B86" s="126"/>
      <c r="C86" s="206"/>
      <c r="D86" s="126"/>
      <c r="E86" s="210" t="str">
        <f t="shared" si="1"/>
        <v xml:space="preserve"> </v>
      </c>
    </row>
    <row r="87" spans="1:5">
      <c r="A87" s="206"/>
      <c r="B87" s="126"/>
      <c r="C87" s="206"/>
      <c r="D87" s="126"/>
      <c r="E87" s="210" t="str">
        <f t="shared" si="1"/>
        <v xml:space="preserve"> </v>
      </c>
    </row>
    <row r="88" spans="1:5">
      <c r="A88" s="206"/>
      <c r="B88" s="126"/>
      <c r="C88" s="206"/>
      <c r="D88" s="126"/>
      <c r="E88" s="210" t="str">
        <f t="shared" si="1"/>
        <v xml:space="preserve"> </v>
      </c>
    </row>
    <row r="89" spans="1:5">
      <c r="A89" s="206"/>
      <c r="B89" s="126"/>
      <c r="C89" s="206"/>
      <c r="D89" s="126"/>
      <c r="E89" s="210" t="str">
        <f t="shared" si="1"/>
        <v xml:space="preserve"> </v>
      </c>
    </row>
    <row r="90" spans="1:5">
      <c r="A90" s="206"/>
      <c r="B90" s="126"/>
      <c r="C90" s="206"/>
      <c r="D90" s="126"/>
      <c r="E90" s="210" t="str">
        <f t="shared" si="1"/>
        <v xml:space="preserve"> </v>
      </c>
    </row>
    <row r="91" spans="1:5">
      <c r="A91" s="206"/>
      <c r="B91" s="126"/>
      <c r="C91" s="206"/>
      <c r="D91" s="126"/>
      <c r="E91" s="210" t="str">
        <f t="shared" si="1"/>
        <v xml:space="preserve"> </v>
      </c>
    </row>
    <row r="92" spans="1:5">
      <c r="A92" s="206"/>
      <c r="B92" s="126"/>
      <c r="C92" s="206"/>
      <c r="D92" s="126"/>
      <c r="E92" s="210" t="str">
        <f t="shared" si="1"/>
        <v xml:space="preserve"> </v>
      </c>
    </row>
    <row r="93" spans="1:5">
      <c r="A93" s="206"/>
      <c r="B93" s="126"/>
      <c r="C93" s="206"/>
      <c r="D93" s="126"/>
      <c r="E93" s="210" t="str">
        <f t="shared" si="1"/>
        <v xml:space="preserve"> </v>
      </c>
    </row>
    <row r="94" spans="1:5">
      <c r="A94" s="206"/>
      <c r="B94" s="126"/>
      <c r="C94" s="206"/>
      <c r="D94" s="126"/>
      <c r="E94" s="210" t="str">
        <f t="shared" si="1"/>
        <v xml:space="preserve"> </v>
      </c>
    </row>
    <row r="95" spans="1:5">
      <c r="A95" s="206"/>
      <c r="B95" s="126"/>
      <c r="C95" s="206"/>
      <c r="D95" s="126"/>
      <c r="E95" s="210" t="str">
        <f t="shared" si="1"/>
        <v xml:space="preserve"> </v>
      </c>
    </row>
    <row r="96" spans="1:5">
      <c r="A96" s="206"/>
      <c r="B96" s="126"/>
      <c r="C96" s="206"/>
      <c r="D96" s="126"/>
      <c r="E96" s="210" t="str">
        <f t="shared" si="1"/>
        <v xml:space="preserve"> </v>
      </c>
    </row>
    <row r="97" spans="1:5">
      <c r="A97" s="206"/>
      <c r="B97" s="126"/>
      <c r="C97" s="206"/>
      <c r="D97" s="126"/>
      <c r="E97" s="210" t="str">
        <f t="shared" si="1"/>
        <v xml:space="preserve"> </v>
      </c>
    </row>
    <row r="98" spans="1:5">
      <c r="A98" s="206"/>
      <c r="B98" s="126"/>
      <c r="C98" s="206"/>
      <c r="D98" s="126"/>
      <c r="E98" s="210" t="str">
        <f t="shared" si="1"/>
        <v xml:space="preserve"> </v>
      </c>
    </row>
    <row r="99" spans="1:5">
      <c r="A99" s="206"/>
      <c r="B99" s="126"/>
      <c r="C99" s="206"/>
      <c r="D99" s="126"/>
      <c r="E99" s="210" t="str">
        <f t="shared" si="1"/>
        <v xml:space="preserve"> </v>
      </c>
    </row>
    <row r="100" spans="1:5">
      <c r="A100" s="206"/>
      <c r="B100" s="126"/>
      <c r="C100" s="206"/>
      <c r="D100" s="126"/>
      <c r="E100" s="210" t="str">
        <f t="shared" si="1"/>
        <v xml:space="preserve"> </v>
      </c>
    </row>
    <row r="101" spans="1:5">
      <c r="A101" s="206"/>
      <c r="B101" s="126"/>
      <c r="C101" s="206"/>
      <c r="D101" s="126"/>
      <c r="E101" s="210" t="str">
        <f t="shared" si="1"/>
        <v xml:space="preserve"> </v>
      </c>
    </row>
    <row r="102" spans="1:5">
      <c r="B102" s="207">
        <f>SUM(B3:B101)</f>
        <v>1800</v>
      </c>
    </row>
  </sheetData>
  <dataValidations count="1">
    <dataValidation type="list" allowBlank="1" showInputMessage="1" showErrorMessage="1" sqref="D1:D1048576" xr:uid="{C7DC90E1-6348-4820-9BD1-273CB2EABFA7}">
      <formula1>"Cash,UPI,Cheque"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16220-32CF-408E-A57F-60208134F924}">
  <sheetPr codeName="Sheet10"/>
  <dimension ref="A1:J88"/>
  <sheetViews>
    <sheetView workbookViewId="0">
      <selection activeCell="K3" sqref="K3"/>
    </sheetView>
  </sheetViews>
  <sheetFormatPr defaultRowHeight="24.75" customHeight="1"/>
  <cols>
    <col min="1" max="1" width="34.625" bestFit="1" customWidth="1"/>
    <col min="2" max="2" width="9" style="228"/>
    <col min="3" max="3" width="14.125" style="229" bestFit="1" customWidth="1"/>
    <col min="4" max="4" width="8.5" style="228" bestFit="1" customWidth="1"/>
    <col min="5" max="5" width="8.125" style="228" bestFit="1" customWidth="1"/>
    <col min="6" max="6" width="11.5" style="228" bestFit="1" customWidth="1"/>
    <col min="7" max="7" width="11.625" style="228" bestFit="1" customWidth="1"/>
    <col min="8" max="8" width="15.25" style="228" bestFit="1" customWidth="1"/>
    <col min="9" max="9" width="12" customWidth="1"/>
    <col min="10" max="10" width="10.125" bestFit="1" customWidth="1"/>
  </cols>
  <sheetData>
    <row r="1" spans="1:10" ht="24.75" customHeight="1" thickBot="1">
      <c r="A1" s="224" t="str">
        <f>ADMISSION!B1</f>
        <v>Student's Name</v>
      </c>
      <c r="B1" s="226" t="str">
        <f>ADMISSION!C1</f>
        <v>Class</v>
      </c>
      <c r="C1" s="227" t="str">
        <f>ADMISSION!D1</f>
        <v>Mobile no</v>
      </c>
      <c r="D1" s="226" t="str">
        <f>ADMISSION!J1</f>
        <v>Total Fee</v>
      </c>
      <c r="E1" s="226" t="str">
        <f>ADMISSION!K1</f>
        <v>Discount</v>
      </c>
      <c r="F1" s="226" t="str">
        <f>ADMISSION!L1</f>
        <v>Payable FEE</v>
      </c>
      <c r="G1" s="226" t="str">
        <f>ADMISSION!M1</f>
        <v>Total Deposit</v>
      </c>
      <c r="H1" s="226" t="str">
        <f>ADMISSION!N1</f>
        <v>Totale Remaining</v>
      </c>
      <c r="I1" s="225" t="s">
        <v>211</v>
      </c>
    </row>
    <row r="2" spans="1:10" ht="24.75" customHeight="1">
      <c r="A2" t="str">
        <f>ADMISSION!B2</f>
        <v>Humera Zuber Shaikh</v>
      </c>
      <c r="B2" s="228" t="str">
        <f>ADMISSION!C2</f>
        <v>1st</v>
      </c>
      <c r="C2" s="229">
        <f>ADMISSION!D2</f>
        <v>9898359914</v>
      </c>
      <c r="D2" s="228">
        <f>ADMISSION!J2</f>
        <v>3000</v>
      </c>
      <c r="E2" s="228">
        <f>ADMISSION!K2</f>
        <v>200</v>
      </c>
      <c r="F2" s="228">
        <f>ADMISSION!L2</f>
        <v>2800</v>
      </c>
      <c r="G2" s="228">
        <f>ADMISSION!M2</f>
        <v>0</v>
      </c>
      <c r="H2" s="228">
        <f>ADMISSION!N2</f>
        <v>2800</v>
      </c>
      <c r="I2" s="230" t="str">
        <f>HYPERLINK("https://api.whatsapp.com/send?phone=" &amp; C2 &amp;"&amp;text=" &amp; "વિષય: ફી ભરવા નોંધ%0A"&amp;"નામ:"&amp;A2&amp;"%0A"&amp;"ધોરણ:"&amp;B2&amp;"%0A"&amp;"કુલ ફી:"&amp;F2&amp;"%0A"&amp;"ભરેલ ફી:"&amp;G2&amp;"%0A"&amp;"બાકી ફી:"&amp;H2&amp;"%0A"&amp;"બાકી ફી ભરવા વિનંતી"&amp;"UPI No: 9998477778%0A"&amp;"Knowledge Point Tution Class","send msg")</f>
        <v>send msg</v>
      </c>
      <c r="J2" s="9">
        <v>45505</v>
      </c>
    </row>
    <row r="3" spans="1:10" ht="24.75" customHeight="1">
      <c r="A3" t="str">
        <f>ADMISSION!B3</f>
        <v>Mo.Ali Jafar Shaikh</v>
      </c>
      <c r="B3" s="228" t="str">
        <f>ADMISSION!C3</f>
        <v>1st</v>
      </c>
      <c r="C3" s="229">
        <f>ADMISSION!D3</f>
        <v>7405182928</v>
      </c>
      <c r="D3" s="228">
        <f>ADMISSION!J3</f>
        <v>3000</v>
      </c>
      <c r="E3" s="228">
        <f>ADMISSION!K3</f>
        <v>0</v>
      </c>
      <c r="F3" s="228">
        <f>ADMISSION!L3</f>
        <v>3000</v>
      </c>
      <c r="G3" s="228">
        <f>ADMISSION!M3</f>
        <v>0</v>
      </c>
      <c r="H3" s="228">
        <f>ADMISSION!N3</f>
        <v>3000</v>
      </c>
      <c r="I3" s="230" t="str">
        <f t="shared" ref="I3:I66" si="0">HYPERLINK("https://api.whatsapp.com/send?phone=" &amp; C3 &amp;"&amp;text=" &amp; "વિષય: ફી ભરવા નોંધ%0A"&amp;"નામ:"&amp;A3&amp;"%0A"&amp;"ધોરણ:"&amp;B3&amp;"%0A"&amp;"કુલ ફી:"&amp;F3&amp;"%0A"&amp;"ભરેલ ફી:"&amp;G3&amp;"%0A"&amp;"બાકી ફી:"&amp;H3&amp;"%0A"&amp;"બાકી ફી ભરવા વિનંતી"&amp;"UPI No: 9998477778%0A"&amp;"Knowledge Point Tution Class","send msg")</f>
        <v>send msg</v>
      </c>
    </row>
    <row r="4" spans="1:10" ht="24.75" customHeight="1">
      <c r="A4" t="str">
        <f>ADMISSION!B4</f>
        <v>Ayan Gaffarbhai Selot</v>
      </c>
      <c r="B4" s="228" t="str">
        <f>ADMISSION!C4</f>
        <v>3rd</v>
      </c>
      <c r="C4" s="229">
        <f>ADMISSION!D4</f>
        <v>9428692168</v>
      </c>
      <c r="D4" s="228">
        <f>ADMISSION!J4</f>
        <v>4000</v>
      </c>
      <c r="E4" s="228">
        <f>ADMISSION!K4</f>
        <v>0</v>
      </c>
      <c r="F4" s="228">
        <f>ADMISSION!L4</f>
        <v>4000</v>
      </c>
      <c r="G4" s="228">
        <f>ADMISSION!M4</f>
        <v>1000</v>
      </c>
      <c r="H4" s="228">
        <f>ADMISSION!N4</f>
        <v>3000</v>
      </c>
      <c r="I4" s="230" t="str">
        <f t="shared" si="0"/>
        <v>send msg</v>
      </c>
    </row>
    <row r="5" spans="1:10" ht="24.75" customHeight="1">
      <c r="A5" t="str">
        <f>ADMISSION!B5</f>
        <v>Komal Vijaybhai Bhavekar</v>
      </c>
      <c r="B5" s="228" t="str">
        <f>ADMISSION!C5</f>
        <v>3rd</v>
      </c>
      <c r="C5" s="229">
        <f>ADMISSION!D5</f>
        <v>9723326757</v>
      </c>
      <c r="D5" s="228">
        <f>ADMISSION!J5</f>
        <v>4000</v>
      </c>
      <c r="E5" s="228">
        <f>ADMISSION!K5</f>
        <v>300</v>
      </c>
      <c r="F5" s="228">
        <f>ADMISSION!L5</f>
        <v>3700</v>
      </c>
      <c r="G5" s="228">
        <f>ADMISSION!M5</f>
        <v>0</v>
      </c>
      <c r="H5" s="228">
        <f>ADMISSION!N5</f>
        <v>3700</v>
      </c>
      <c r="I5" s="230" t="str">
        <f t="shared" si="0"/>
        <v>send msg</v>
      </c>
    </row>
    <row r="6" spans="1:10" ht="24.75" customHeight="1">
      <c r="A6" t="str">
        <f>ADMISSION!B6</f>
        <v>Parvez Aspak Mandaviya</v>
      </c>
      <c r="B6" s="228" t="str">
        <f>ADMISSION!C6</f>
        <v>4th</v>
      </c>
      <c r="C6" s="229">
        <f>ADMISSION!D6</f>
        <v>6356106909</v>
      </c>
      <c r="D6" s="228">
        <f>ADMISSION!J6</f>
        <v>4500</v>
      </c>
      <c r="E6" s="228">
        <f>ADMISSION!K6</f>
        <v>0</v>
      </c>
      <c r="F6" s="228">
        <f>ADMISSION!L6</f>
        <v>4500</v>
      </c>
      <c r="G6" s="228">
        <f>ADMISSION!M6</f>
        <v>1000</v>
      </c>
      <c r="H6" s="228">
        <f>ADMISSION!N6</f>
        <v>3500</v>
      </c>
      <c r="I6" s="230" t="str">
        <f t="shared" si="0"/>
        <v>send msg</v>
      </c>
    </row>
    <row r="7" spans="1:10" ht="24.75" customHeight="1">
      <c r="A7" t="str">
        <f>ADMISSION!B7</f>
        <v>Mo.Abdan Shakil Mansuri</v>
      </c>
      <c r="B7" s="228" t="str">
        <f>ADMISSION!C7</f>
        <v>4th</v>
      </c>
      <c r="C7" s="229">
        <f>ADMISSION!D7</f>
        <v>8401255492</v>
      </c>
      <c r="D7" s="228">
        <f>ADMISSION!J7</f>
        <v>4500</v>
      </c>
      <c r="E7" s="228">
        <f>ADMISSION!K7</f>
        <v>0</v>
      </c>
      <c r="F7" s="228">
        <f>ADMISSION!L7</f>
        <v>4500</v>
      </c>
      <c r="G7" s="228">
        <f>ADMISSION!M7</f>
        <v>500</v>
      </c>
      <c r="H7" s="228">
        <f>ADMISSION!N7</f>
        <v>4000</v>
      </c>
      <c r="I7" s="230" t="str">
        <f t="shared" si="0"/>
        <v>send msg</v>
      </c>
    </row>
    <row r="8" spans="1:10" ht="24.75" customHeight="1">
      <c r="A8" t="str">
        <f>ADMISSION!B8</f>
        <v>Fayeza Banu Naim Shaikh</v>
      </c>
      <c r="B8" s="228" t="str">
        <f>ADMISSION!C8</f>
        <v>4th</v>
      </c>
      <c r="C8" s="229">
        <f>ADMISSION!D8</f>
        <v>9974633556</v>
      </c>
      <c r="D8" s="228">
        <f>ADMISSION!J8</f>
        <v>4500</v>
      </c>
      <c r="E8" s="228">
        <f>ADMISSION!K8</f>
        <v>300</v>
      </c>
      <c r="F8" s="228">
        <f>ADMISSION!L8</f>
        <v>4200</v>
      </c>
      <c r="G8" s="228">
        <f>ADMISSION!M8</f>
        <v>1000</v>
      </c>
      <c r="H8" s="228">
        <f>ADMISSION!N8</f>
        <v>3200</v>
      </c>
      <c r="I8" s="230" t="str">
        <f t="shared" si="0"/>
        <v>send msg</v>
      </c>
    </row>
    <row r="9" spans="1:10" ht="24.75" customHeight="1">
      <c r="A9" t="str">
        <f>ADMISSION!B9</f>
        <v>Mariyam Banu Mo.Juned Fanibandha</v>
      </c>
      <c r="B9" s="228" t="str">
        <f>ADMISSION!C9</f>
        <v>5th</v>
      </c>
      <c r="C9" s="229">
        <f>ADMISSION!D9</f>
        <v>9722252422</v>
      </c>
      <c r="D9" s="228">
        <f>ADMISSION!J9</f>
        <v>5000</v>
      </c>
      <c r="E9" s="228">
        <f>ADMISSION!K9</f>
        <v>300</v>
      </c>
      <c r="F9" s="228">
        <f>ADMISSION!L9</f>
        <v>4700</v>
      </c>
      <c r="G9" s="228">
        <f>ADMISSION!M9</f>
        <v>0</v>
      </c>
      <c r="H9" s="228">
        <f>ADMISSION!N9</f>
        <v>4700</v>
      </c>
      <c r="I9" s="230" t="str">
        <f t="shared" si="0"/>
        <v>send msg</v>
      </c>
    </row>
    <row r="10" spans="1:10" ht="24.75" customHeight="1">
      <c r="A10" t="str">
        <f>ADMISSION!B10</f>
        <v>Heena Vijaybhai Bhavekar</v>
      </c>
      <c r="B10" s="228" t="str">
        <f>ADMISSION!C10</f>
        <v>5th</v>
      </c>
      <c r="C10" s="229">
        <f>ADMISSION!D10</f>
        <v>9723326757</v>
      </c>
      <c r="D10" s="228">
        <f>ADMISSION!J10</f>
        <v>5000</v>
      </c>
      <c r="E10" s="228">
        <f>ADMISSION!K10</f>
        <v>300</v>
      </c>
      <c r="F10" s="228">
        <f>ADMISSION!L10</f>
        <v>4700</v>
      </c>
      <c r="G10" s="228">
        <f>ADMISSION!M10</f>
        <v>0</v>
      </c>
      <c r="H10" s="228">
        <f>ADMISSION!N10</f>
        <v>4700</v>
      </c>
      <c r="I10" s="230" t="str">
        <f t="shared" si="0"/>
        <v>send msg</v>
      </c>
    </row>
    <row r="11" spans="1:10" ht="24.75" customHeight="1">
      <c r="A11" t="str">
        <f>ADMISSION!B11</f>
        <v>Mo.Umar Jafar Shaikh</v>
      </c>
      <c r="B11" s="228" t="str">
        <f>ADMISSION!C11</f>
        <v>5th</v>
      </c>
      <c r="C11" s="229">
        <f>ADMISSION!D11</f>
        <v>7405182928</v>
      </c>
      <c r="D11" s="228">
        <f>ADMISSION!J11</f>
        <v>5000</v>
      </c>
      <c r="E11" s="228">
        <f>ADMISSION!K11</f>
        <v>0</v>
      </c>
      <c r="F11" s="228">
        <f>ADMISSION!L11</f>
        <v>5000</v>
      </c>
      <c r="G11" s="228">
        <f>ADMISSION!M11</f>
        <v>0</v>
      </c>
      <c r="H11" s="228">
        <f>ADMISSION!N11</f>
        <v>5000</v>
      </c>
      <c r="I11" s="230" t="str">
        <f t="shared" si="0"/>
        <v>send msg</v>
      </c>
    </row>
    <row r="12" spans="1:10" ht="24.75" customHeight="1">
      <c r="A12" t="str">
        <f>ADMISSION!B12</f>
        <v>Saima Mujehit Shiekh</v>
      </c>
      <c r="B12" s="228" t="str">
        <f>ADMISSION!C12</f>
        <v>5th</v>
      </c>
      <c r="C12" s="229">
        <f>ADMISSION!D12</f>
        <v>8758555925</v>
      </c>
      <c r="D12" s="228">
        <f>ADMISSION!J12</f>
        <v>5000</v>
      </c>
      <c r="E12" s="228">
        <f>ADMISSION!K12</f>
        <v>300</v>
      </c>
      <c r="F12" s="228">
        <f>ADMISSION!L12</f>
        <v>4700</v>
      </c>
      <c r="G12" s="228">
        <f>ADMISSION!M12</f>
        <v>700</v>
      </c>
      <c r="H12" s="228">
        <f>ADMISSION!N12</f>
        <v>4000</v>
      </c>
      <c r="I12" s="230" t="str">
        <f t="shared" si="0"/>
        <v>send msg</v>
      </c>
    </row>
    <row r="13" spans="1:10" ht="24.75" customHeight="1">
      <c r="A13" t="str">
        <f>ADMISSION!B13</f>
        <v>Mo.Sahezan Yusufbhai Kureshi</v>
      </c>
      <c r="B13" s="228" t="str">
        <f>ADMISSION!C13</f>
        <v>6th</v>
      </c>
      <c r="C13" s="229">
        <f>ADMISSION!D13</f>
        <v>7984122443</v>
      </c>
      <c r="D13" s="228">
        <f>ADMISSION!J13</f>
        <v>6000</v>
      </c>
      <c r="E13" s="228">
        <f>ADMISSION!K13</f>
        <v>0</v>
      </c>
      <c r="F13" s="228">
        <f>ADMISSION!L13</f>
        <v>6000</v>
      </c>
      <c r="G13" s="228">
        <f>ADMISSION!M13</f>
        <v>1500</v>
      </c>
      <c r="H13" s="228">
        <f>ADMISSION!N13</f>
        <v>4500</v>
      </c>
      <c r="I13" s="230" t="str">
        <f t="shared" si="0"/>
        <v>send msg</v>
      </c>
    </row>
    <row r="14" spans="1:10" ht="24.75" customHeight="1">
      <c r="A14" t="str">
        <f>ADMISSION!B14</f>
        <v>Maliha Banu Mo.Juned Fanibandha</v>
      </c>
      <c r="B14" s="228" t="str">
        <f>ADMISSION!C14</f>
        <v>6th</v>
      </c>
      <c r="C14" s="229">
        <f>ADMISSION!D14</f>
        <v>9722252422</v>
      </c>
      <c r="D14" s="228">
        <f>ADMISSION!J14</f>
        <v>6000</v>
      </c>
      <c r="E14" s="228">
        <f>ADMISSION!K14</f>
        <v>400</v>
      </c>
      <c r="F14" s="228">
        <f>ADMISSION!L14</f>
        <v>5600</v>
      </c>
      <c r="G14" s="228">
        <f>ADMISSION!M14</f>
        <v>0</v>
      </c>
      <c r="H14" s="228">
        <f>ADMISSION!N14</f>
        <v>5600</v>
      </c>
      <c r="I14" s="230" t="str">
        <f t="shared" si="0"/>
        <v>send msg</v>
      </c>
    </row>
    <row r="15" spans="1:10" ht="24.75" customHeight="1">
      <c r="A15" t="str">
        <f>ADMISSION!B15</f>
        <v>Kinjal Vujaybhai Bhavekar</v>
      </c>
      <c r="B15" s="228" t="str">
        <f>ADMISSION!C15</f>
        <v>6th</v>
      </c>
      <c r="C15" s="229">
        <f>ADMISSION!D15</f>
        <v>9723326757</v>
      </c>
      <c r="D15" s="228">
        <f>ADMISSION!J15</f>
        <v>6000</v>
      </c>
      <c r="E15" s="228">
        <f>ADMISSION!K15</f>
        <v>400</v>
      </c>
      <c r="F15" s="228">
        <f>ADMISSION!L15</f>
        <v>5600</v>
      </c>
      <c r="G15" s="228">
        <f>ADMISSION!M15</f>
        <v>0</v>
      </c>
      <c r="H15" s="228">
        <f>ADMISSION!N15</f>
        <v>5600</v>
      </c>
      <c r="I15" s="230" t="str">
        <f t="shared" si="0"/>
        <v>send msg</v>
      </c>
    </row>
    <row r="16" spans="1:10" ht="24.75" customHeight="1">
      <c r="A16" t="str">
        <f>ADMISSION!B16</f>
        <v>Ankit Sanmukhbhai Solanki</v>
      </c>
      <c r="B16" s="228" t="str">
        <f>ADMISSION!C16</f>
        <v>6th</v>
      </c>
      <c r="C16" s="229">
        <f>ADMISSION!D16</f>
        <v>9510095137</v>
      </c>
      <c r="D16" s="228">
        <f>ADMISSION!J16</f>
        <v>6000</v>
      </c>
      <c r="E16" s="228">
        <f>ADMISSION!K16</f>
        <v>0</v>
      </c>
      <c r="F16" s="228">
        <f>ADMISSION!L16</f>
        <v>6000</v>
      </c>
      <c r="G16" s="228">
        <f>ADMISSION!M16</f>
        <v>1000</v>
      </c>
      <c r="H16" s="228">
        <f>ADMISSION!N16</f>
        <v>5000</v>
      </c>
      <c r="I16" s="230" t="str">
        <f t="shared" si="0"/>
        <v>send msg</v>
      </c>
    </row>
    <row r="17" spans="1:9" ht="24.75" customHeight="1">
      <c r="A17" t="str">
        <f>ADMISSION!B17</f>
        <v>Shahid Zuber Shaikh</v>
      </c>
      <c r="B17" s="228" t="str">
        <f>ADMISSION!C17</f>
        <v>6th</v>
      </c>
      <c r="C17" s="229">
        <f>ADMISSION!D17</f>
        <v>9898359914</v>
      </c>
      <c r="D17" s="228">
        <f>ADMISSION!J17</f>
        <v>6000</v>
      </c>
      <c r="E17" s="228">
        <f>ADMISSION!K17</f>
        <v>0</v>
      </c>
      <c r="F17" s="228">
        <f>ADMISSION!L17</f>
        <v>6000</v>
      </c>
      <c r="G17" s="228">
        <f>ADMISSION!M17</f>
        <v>0</v>
      </c>
      <c r="H17" s="228">
        <f>ADMISSION!N17</f>
        <v>6000</v>
      </c>
      <c r="I17" s="230" t="str">
        <f t="shared" si="0"/>
        <v>send msg</v>
      </c>
    </row>
    <row r="18" spans="1:9" ht="24.75" customHeight="1">
      <c r="A18" t="str">
        <f>ADMISSION!B18</f>
        <v>Nafiskhan Iqbalkhan Pathan</v>
      </c>
      <c r="B18" s="228" t="str">
        <f>ADMISSION!C18</f>
        <v>7th</v>
      </c>
      <c r="C18" s="229">
        <f>ADMISSION!D18</f>
        <v>7778996255</v>
      </c>
      <c r="D18" s="228">
        <f>ADMISSION!J18</f>
        <v>7000</v>
      </c>
      <c r="E18" s="228">
        <f>ADMISSION!K18</f>
        <v>0</v>
      </c>
      <c r="F18" s="228">
        <f>ADMISSION!L18</f>
        <v>7000</v>
      </c>
      <c r="G18" s="228">
        <f>ADMISSION!M18</f>
        <v>1500</v>
      </c>
      <c r="H18" s="228">
        <f>ADMISSION!N18</f>
        <v>5500</v>
      </c>
      <c r="I18" s="230" t="str">
        <f t="shared" si="0"/>
        <v>send msg</v>
      </c>
    </row>
    <row r="19" spans="1:9" ht="24.75" customHeight="1">
      <c r="A19" t="str">
        <f>ADMISSION!B19</f>
        <v>Firdos Banu Abdul Naim Shaikh</v>
      </c>
      <c r="B19" s="228" t="str">
        <f>ADMISSION!C19</f>
        <v>7th</v>
      </c>
      <c r="C19" s="229">
        <f>ADMISSION!D19</f>
        <v>9974633556</v>
      </c>
      <c r="D19" s="228">
        <f>ADMISSION!J19</f>
        <v>7000</v>
      </c>
      <c r="E19" s="228">
        <f>ADMISSION!K19</f>
        <v>400</v>
      </c>
      <c r="F19" s="228">
        <f>ADMISSION!L19</f>
        <v>6600</v>
      </c>
      <c r="G19" s="228">
        <f>ADMISSION!M19</f>
        <v>1000</v>
      </c>
      <c r="H19" s="228">
        <f>ADMISSION!N19</f>
        <v>5600</v>
      </c>
      <c r="I19" s="230" t="str">
        <f t="shared" si="0"/>
        <v>send msg</v>
      </c>
    </row>
    <row r="20" spans="1:9" ht="24.75" customHeight="1">
      <c r="A20" t="str">
        <f>ADMISSION!B20</f>
        <v>Mohammed Fahad Mo.Iqbal Pittalwala</v>
      </c>
      <c r="B20" s="228" t="str">
        <f>ADMISSION!C20</f>
        <v>7th</v>
      </c>
      <c r="C20" s="229">
        <f>ADMISSION!D20</f>
        <v>7600768059</v>
      </c>
      <c r="D20" s="228">
        <f>ADMISSION!J20</f>
        <v>7000</v>
      </c>
      <c r="E20" s="228">
        <f>ADMISSION!K20</f>
        <v>0</v>
      </c>
      <c r="F20" s="228">
        <f>ADMISSION!L20</f>
        <v>7000</v>
      </c>
      <c r="G20" s="228">
        <f>ADMISSION!M20</f>
        <v>1500</v>
      </c>
      <c r="H20" s="228">
        <f>ADMISSION!N20</f>
        <v>5500</v>
      </c>
      <c r="I20" s="230" t="str">
        <f t="shared" si="0"/>
        <v>send msg</v>
      </c>
    </row>
    <row r="21" spans="1:9" ht="24.75" customHeight="1">
      <c r="A21" t="str">
        <f>ADMISSION!B21</f>
        <v>Adnan Zuber Shaikh</v>
      </c>
      <c r="B21" s="228" t="str">
        <f>ADMISSION!C21</f>
        <v>7th</v>
      </c>
      <c r="C21" s="229">
        <f>ADMISSION!D21</f>
        <v>9898359914</v>
      </c>
      <c r="D21" s="228">
        <f>ADMISSION!J21</f>
        <v>7000</v>
      </c>
      <c r="E21" s="228">
        <f>ADMISSION!K21</f>
        <v>0</v>
      </c>
      <c r="F21" s="228">
        <f>ADMISSION!L21</f>
        <v>7000</v>
      </c>
      <c r="G21" s="228">
        <f>ADMISSION!M21</f>
        <v>0</v>
      </c>
      <c r="H21" s="228">
        <f>ADMISSION!N21</f>
        <v>7000</v>
      </c>
      <c r="I21" s="230" t="str">
        <f t="shared" si="0"/>
        <v>send msg</v>
      </c>
    </row>
    <row r="22" spans="1:9" ht="24.75" customHeight="1">
      <c r="A22" t="str">
        <f>ADMISSION!B22</f>
        <v>Farhan Akhtar Yusufbhai Kureshi</v>
      </c>
      <c r="B22" s="228" t="str">
        <f>ADMISSION!C22</f>
        <v>8th</v>
      </c>
      <c r="C22" s="229">
        <f>ADMISSION!D22</f>
        <v>7984122443</v>
      </c>
      <c r="D22" s="228">
        <f>ADMISSION!J22</f>
        <v>8000</v>
      </c>
      <c r="E22" s="228">
        <f>ADMISSION!K22</f>
        <v>0</v>
      </c>
      <c r="F22" s="228">
        <f>ADMISSION!L22</f>
        <v>8000</v>
      </c>
      <c r="G22" s="228">
        <f>ADMISSION!M22</f>
        <v>1500</v>
      </c>
      <c r="H22" s="228">
        <f>ADMISSION!N22</f>
        <v>6500</v>
      </c>
      <c r="I22" s="230" t="str">
        <f t="shared" si="0"/>
        <v>send msg</v>
      </c>
    </row>
    <row r="23" spans="1:9" ht="24.75" customHeight="1">
      <c r="A23" t="str">
        <f>ADMISSION!B23</f>
        <v>Aaisha Begam Aabidali Saiyed</v>
      </c>
      <c r="B23" s="228" t="str">
        <f>ADMISSION!C23</f>
        <v>8th</v>
      </c>
      <c r="C23" s="229">
        <f>ADMISSION!D23</f>
        <v>7046110654</v>
      </c>
      <c r="D23" s="228">
        <f>ADMISSION!J23</f>
        <v>8000</v>
      </c>
      <c r="E23" s="228">
        <f>ADMISSION!K23</f>
        <v>500</v>
      </c>
      <c r="F23" s="228">
        <f>ADMISSION!L23</f>
        <v>7500</v>
      </c>
      <c r="G23" s="228">
        <f>ADMISSION!M23</f>
        <v>1000</v>
      </c>
      <c r="H23" s="228">
        <f>ADMISSION!N23</f>
        <v>6500</v>
      </c>
      <c r="I23" s="230" t="str">
        <f t="shared" si="0"/>
        <v>send msg</v>
      </c>
    </row>
    <row r="24" spans="1:9" ht="24.75" customHeight="1">
      <c r="A24" t="str">
        <f>ADMISSION!B24</f>
        <v>Tanishka Vijaybhai Bhavekar</v>
      </c>
      <c r="B24" s="228" t="str">
        <f>ADMISSION!C24</f>
        <v>8th</v>
      </c>
      <c r="C24" s="229">
        <f>ADMISSION!D24</f>
        <v>9723326757</v>
      </c>
      <c r="D24" s="228">
        <f>ADMISSION!J24</f>
        <v>8000</v>
      </c>
      <c r="E24" s="228">
        <f>ADMISSION!K24</f>
        <v>500</v>
      </c>
      <c r="F24" s="228">
        <f>ADMISSION!L24</f>
        <v>7500</v>
      </c>
      <c r="G24" s="228">
        <f>ADMISSION!M24</f>
        <v>0</v>
      </c>
      <c r="H24" s="228">
        <f>ADMISSION!N24</f>
        <v>7500</v>
      </c>
      <c r="I24" s="230" t="str">
        <f t="shared" si="0"/>
        <v>send msg</v>
      </c>
    </row>
    <row r="25" spans="1:9" ht="24.75" customHeight="1">
      <c r="A25" t="str">
        <f>ADMISSION!B25</f>
        <v>Aatif Aiyub Choksi</v>
      </c>
      <c r="B25" s="228" t="str">
        <f>ADMISSION!C25</f>
        <v>8th</v>
      </c>
      <c r="C25" s="229">
        <f>ADMISSION!D25</f>
        <v>7861848761</v>
      </c>
      <c r="D25" s="228">
        <f>ADMISSION!J25</f>
        <v>8000</v>
      </c>
      <c r="E25" s="228">
        <f>ADMISSION!K25</f>
        <v>0</v>
      </c>
      <c r="F25" s="228">
        <f>ADMISSION!L25</f>
        <v>8000</v>
      </c>
      <c r="G25" s="228">
        <f>ADMISSION!M25</f>
        <v>2000</v>
      </c>
      <c r="H25" s="228">
        <f>ADMISSION!N25</f>
        <v>6000</v>
      </c>
      <c r="I25" s="230" t="str">
        <f t="shared" si="0"/>
        <v>send msg</v>
      </c>
    </row>
    <row r="26" spans="1:9" ht="24.75" customHeight="1">
      <c r="A26" t="str">
        <f>ADMISSION!B26</f>
        <v>Juvariyyah Ilyas Patel</v>
      </c>
      <c r="B26" s="228" t="str">
        <f>ADMISSION!C26</f>
        <v>8th</v>
      </c>
      <c r="C26" s="229">
        <f>ADMISSION!D26</f>
        <v>9558776923</v>
      </c>
      <c r="D26" s="228">
        <f>ADMISSION!J26</f>
        <v>8000</v>
      </c>
      <c r="E26" s="228">
        <f>ADMISSION!K26</f>
        <v>500</v>
      </c>
      <c r="F26" s="228">
        <f>ADMISSION!L26</f>
        <v>7500</v>
      </c>
      <c r="G26" s="228">
        <f>ADMISSION!M26</f>
        <v>2000</v>
      </c>
      <c r="H26" s="228">
        <f>ADMISSION!N26</f>
        <v>5500</v>
      </c>
      <c r="I26" s="230" t="str">
        <f t="shared" si="0"/>
        <v>send msg</v>
      </c>
    </row>
    <row r="27" spans="1:9" ht="24.75" customHeight="1">
      <c r="A27" t="str">
        <f>ADMISSION!B27</f>
        <v>Ilshabanu Yusuf Ahmad Khan</v>
      </c>
      <c r="B27" s="228" t="str">
        <f>ADMISSION!C27</f>
        <v>9th</v>
      </c>
      <c r="C27" s="229">
        <f>ADMISSION!D27</f>
        <v>9998712399</v>
      </c>
      <c r="D27" s="228">
        <f>ADMISSION!J27</f>
        <v>9500</v>
      </c>
      <c r="E27" s="228">
        <f>ADMISSION!K27</f>
        <v>500</v>
      </c>
      <c r="F27" s="228">
        <f>ADMISSION!L27</f>
        <v>9000</v>
      </c>
      <c r="G27" s="228">
        <f>ADMISSION!M27</f>
        <v>2000</v>
      </c>
      <c r="H27" s="228">
        <f>ADMISSION!N27</f>
        <v>7000</v>
      </c>
      <c r="I27" s="230" t="str">
        <f t="shared" si="0"/>
        <v>send msg</v>
      </c>
    </row>
    <row r="28" spans="1:9" ht="24.75" customHeight="1">
      <c r="A28" t="str">
        <f>ADMISSION!B28</f>
        <v>Mahenoor Raufbhai Dhariwala</v>
      </c>
      <c r="B28" s="228" t="str">
        <f>ADMISSION!C28</f>
        <v>9th</v>
      </c>
      <c r="C28" s="229">
        <f>ADMISSION!D28</f>
        <v>9998554482</v>
      </c>
      <c r="D28" s="228">
        <f>ADMISSION!J28</f>
        <v>9500</v>
      </c>
      <c r="E28" s="228">
        <f>ADMISSION!K28</f>
        <v>500</v>
      </c>
      <c r="F28" s="228">
        <f>ADMISSION!L28</f>
        <v>9000</v>
      </c>
      <c r="G28" s="228">
        <f>ADMISSION!M28</f>
        <v>0</v>
      </c>
      <c r="H28" s="228">
        <f>ADMISSION!N28</f>
        <v>9000</v>
      </c>
      <c r="I28" s="230" t="str">
        <f t="shared" si="0"/>
        <v>send msg</v>
      </c>
    </row>
    <row r="29" spans="1:9" ht="24.75" customHeight="1">
      <c r="A29" t="str">
        <f>ADMISSION!B29</f>
        <v>Prince Sanjaybhai Subedar</v>
      </c>
      <c r="B29" s="228" t="str">
        <f>ADMISSION!C29</f>
        <v>9th</v>
      </c>
      <c r="C29" s="229">
        <f>ADMISSION!D29</f>
        <v>9574160929</v>
      </c>
      <c r="D29" s="228">
        <f>ADMISSION!J29</f>
        <v>9500</v>
      </c>
      <c r="E29" s="228">
        <f>ADMISSION!K29</f>
        <v>0</v>
      </c>
      <c r="F29" s="228">
        <f>ADMISSION!L29</f>
        <v>9500</v>
      </c>
      <c r="G29" s="228">
        <f>ADMISSION!M29</f>
        <v>2000</v>
      </c>
      <c r="H29" s="228">
        <f>ADMISSION!N29</f>
        <v>7500</v>
      </c>
      <c r="I29" s="230" t="str">
        <f t="shared" si="0"/>
        <v>send msg</v>
      </c>
    </row>
    <row r="30" spans="1:9" ht="24.75" customHeight="1">
      <c r="A30" t="str">
        <f>ADMISSION!B30</f>
        <v>Mo.Shakib Afzal Hussain Pathan</v>
      </c>
      <c r="B30" s="228" t="str">
        <f>ADMISSION!C30</f>
        <v>10th</v>
      </c>
      <c r="C30" s="229">
        <f>ADMISSION!D30</f>
        <v>9429418784</v>
      </c>
      <c r="D30" s="228">
        <f>ADMISSION!J30</f>
        <v>12500</v>
      </c>
      <c r="E30" s="228">
        <f>ADMISSION!K30</f>
        <v>0</v>
      </c>
      <c r="F30" s="228">
        <f>ADMISSION!L30</f>
        <v>12500</v>
      </c>
      <c r="G30" s="228">
        <f>ADMISSION!M30</f>
        <v>3000</v>
      </c>
      <c r="H30" s="228">
        <f>ADMISSION!N30</f>
        <v>9500</v>
      </c>
      <c r="I30" s="230" t="str">
        <f t="shared" si="0"/>
        <v>send msg</v>
      </c>
    </row>
    <row r="31" spans="1:9" ht="24.75" customHeight="1">
      <c r="A31" t="str">
        <f>ADMISSION!B31</f>
        <v>Munavvar Mujaffar Shaikh</v>
      </c>
      <c r="B31" s="228" t="str">
        <f>ADMISSION!C31</f>
        <v>10th</v>
      </c>
      <c r="C31" s="229">
        <f>ADMISSION!D31</f>
        <v>9824936741</v>
      </c>
      <c r="D31" s="228">
        <f>ADMISSION!J31</f>
        <v>12500</v>
      </c>
      <c r="E31" s="228">
        <f>ADMISSION!K31</f>
        <v>0</v>
      </c>
      <c r="F31" s="228">
        <f>ADMISSION!L31</f>
        <v>12500</v>
      </c>
      <c r="G31" s="228">
        <f>ADMISSION!M31</f>
        <v>0</v>
      </c>
      <c r="H31" s="228">
        <f>ADMISSION!N31</f>
        <v>12500</v>
      </c>
      <c r="I31" s="230" t="str">
        <f t="shared" si="0"/>
        <v>send msg</v>
      </c>
    </row>
    <row r="32" spans="1:9" ht="24.75" customHeight="1">
      <c r="A32" t="str">
        <f>ADMISSION!B32</f>
        <v>Ayasha Azhruddin Shaikh</v>
      </c>
      <c r="B32" s="228" t="str">
        <f>ADMISSION!C32</f>
        <v>10th</v>
      </c>
      <c r="C32" s="229">
        <f>ADMISSION!D32</f>
        <v>9689960373</v>
      </c>
      <c r="D32" s="228">
        <f>ADMISSION!J32</f>
        <v>12500</v>
      </c>
      <c r="E32" s="228">
        <f>ADMISSION!K32</f>
        <v>700</v>
      </c>
      <c r="F32" s="228">
        <f>ADMISSION!L32</f>
        <v>11800</v>
      </c>
      <c r="G32" s="228">
        <f>ADMISSION!M32</f>
        <v>3000</v>
      </c>
      <c r="H32" s="228">
        <f>ADMISSION!N32</f>
        <v>8800</v>
      </c>
      <c r="I32" s="230" t="str">
        <f t="shared" si="0"/>
        <v>send msg</v>
      </c>
    </row>
    <row r="33" spans="1:9" ht="24.75" customHeight="1">
      <c r="A33" t="str">
        <f>ADMISSION!B33</f>
        <v>Arman Mujehit Shaikh</v>
      </c>
      <c r="B33" s="228" t="str">
        <f>ADMISSION!C33</f>
        <v>10th</v>
      </c>
      <c r="C33" s="229">
        <f>ADMISSION!D33</f>
        <v>8758555925</v>
      </c>
      <c r="D33" s="228">
        <f>ADMISSION!J33</f>
        <v>12500</v>
      </c>
      <c r="E33" s="228">
        <f>ADMISSION!K33</f>
        <v>0</v>
      </c>
      <c r="F33" s="228">
        <f>ADMISSION!L33</f>
        <v>12500</v>
      </c>
      <c r="G33" s="228">
        <f>ADMISSION!M33</f>
        <v>1000</v>
      </c>
      <c r="H33" s="228">
        <f>ADMISSION!N33</f>
        <v>11500</v>
      </c>
      <c r="I33" s="230" t="str">
        <f t="shared" si="0"/>
        <v>send msg</v>
      </c>
    </row>
    <row r="34" spans="1:9" ht="24.75" customHeight="1">
      <c r="A34" t="str">
        <f>ADMISSION!B34</f>
        <v>Mariya Mo.Juned Fanibandha</v>
      </c>
      <c r="B34" s="228" t="str">
        <f>ADMISSION!C34</f>
        <v>10th</v>
      </c>
      <c r="C34" s="229">
        <f>ADMISSION!D34</f>
        <v>8160579655</v>
      </c>
      <c r="D34" s="228">
        <f>ADMISSION!J34</f>
        <v>12500</v>
      </c>
      <c r="E34" s="228">
        <f>ADMISSION!K34</f>
        <v>700</v>
      </c>
      <c r="F34" s="228">
        <f>ADMISSION!L34</f>
        <v>11800</v>
      </c>
      <c r="G34" s="228">
        <f>ADMISSION!M34</f>
        <v>0</v>
      </c>
      <c r="H34" s="228">
        <f>ADMISSION!N34</f>
        <v>11800</v>
      </c>
      <c r="I34" s="230" t="str">
        <f t="shared" si="0"/>
        <v>send msg</v>
      </c>
    </row>
    <row r="35" spans="1:9" ht="24.75" customHeight="1">
      <c r="A35" t="str">
        <f>ADMISSION!B35</f>
        <v>Nuresaba Javidgulam Shaikh</v>
      </c>
      <c r="B35" s="228" t="str">
        <f>ADMISSION!C35</f>
        <v>12th</v>
      </c>
      <c r="C35" s="229">
        <f>ADMISSION!D35</f>
        <v>8155917594</v>
      </c>
      <c r="D35" s="228">
        <f>ADMISSION!J35</f>
        <v>14500</v>
      </c>
      <c r="E35" s="228">
        <f>ADMISSION!K35</f>
        <v>700</v>
      </c>
      <c r="F35" s="228">
        <f>ADMISSION!L35</f>
        <v>13800</v>
      </c>
      <c r="G35" s="228">
        <f>ADMISSION!M35</f>
        <v>0</v>
      </c>
      <c r="H35" s="228">
        <f>ADMISSION!N35</f>
        <v>13800</v>
      </c>
      <c r="I35" s="230" t="str">
        <f t="shared" si="0"/>
        <v>send msg</v>
      </c>
    </row>
    <row r="36" spans="1:9" ht="24.75" customHeight="1">
      <c r="A36" t="str">
        <f>ADMISSION!B36</f>
        <v>Zarminbanu Abdul Zahir Battiwala</v>
      </c>
      <c r="B36" s="228" t="str">
        <f>ADMISSION!C36</f>
        <v>12th</v>
      </c>
      <c r="C36" s="229">
        <f>ADMISSION!D36</f>
        <v>8735853637</v>
      </c>
      <c r="D36" s="228">
        <f>ADMISSION!J36</f>
        <v>14500</v>
      </c>
      <c r="E36" s="228">
        <f>ADMISSION!K36</f>
        <v>700</v>
      </c>
      <c r="F36" s="228">
        <f>ADMISSION!L36</f>
        <v>13800</v>
      </c>
      <c r="G36" s="228">
        <f>ADMISSION!M36</f>
        <v>0</v>
      </c>
      <c r="H36" s="228">
        <f>ADMISSION!N36</f>
        <v>13800</v>
      </c>
      <c r="I36" s="230" t="str">
        <f t="shared" si="0"/>
        <v>send msg</v>
      </c>
    </row>
    <row r="37" spans="1:9" ht="24.75" customHeight="1">
      <c r="A37" t="str">
        <f>ADMISSION!B37</f>
        <v>Mohammad Irfan Abduljalil Kharadi</v>
      </c>
      <c r="B37" s="228" t="str">
        <f>ADMISSION!C37</f>
        <v>12th</v>
      </c>
      <c r="C37" s="229">
        <f>ADMISSION!D37</f>
        <v>9099296295</v>
      </c>
      <c r="D37" s="228">
        <f>ADMISSION!J37</f>
        <v>14500</v>
      </c>
      <c r="E37" s="228">
        <f>ADMISSION!K37</f>
        <v>0</v>
      </c>
      <c r="F37" s="228">
        <f>ADMISSION!L37</f>
        <v>14500</v>
      </c>
      <c r="G37" s="228">
        <f>ADMISSION!M37</f>
        <v>0</v>
      </c>
      <c r="H37" s="228">
        <f>ADMISSION!N37</f>
        <v>14500</v>
      </c>
      <c r="I37" s="230" t="str">
        <f t="shared" si="0"/>
        <v>send msg</v>
      </c>
    </row>
    <row r="38" spans="1:9" ht="24.75" customHeight="1">
      <c r="A38" t="str">
        <f>ADMISSION!B38</f>
        <v>Mashira Mo.Juned Fanibandha</v>
      </c>
      <c r="B38" s="228" t="str">
        <f>ADMISSION!C38</f>
        <v>12th</v>
      </c>
      <c r="C38" s="229">
        <f>ADMISSION!D38</f>
        <v>8160579655</v>
      </c>
      <c r="D38" s="228">
        <f>ADMISSION!J38</f>
        <v>14500</v>
      </c>
      <c r="E38" s="228">
        <f>ADMISSION!K38</f>
        <v>700</v>
      </c>
      <c r="F38" s="228">
        <f>ADMISSION!L38</f>
        <v>13800</v>
      </c>
      <c r="G38" s="228">
        <f>ADMISSION!M38</f>
        <v>0</v>
      </c>
      <c r="H38" s="228">
        <f>ADMISSION!N38</f>
        <v>13800</v>
      </c>
      <c r="I38" s="230" t="str">
        <f t="shared" si="0"/>
        <v>send msg</v>
      </c>
    </row>
    <row r="39" spans="1:9" ht="24.75" customHeight="1">
      <c r="A39" t="str">
        <f>ADMISSION!B39</f>
        <v>Zaynab Ilyas Patel</v>
      </c>
      <c r="B39" s="228" t="str">
        <f>ADMISSION!C39</f>
        <v>12th</v>
      </c>
      <c r="C39" s="229">
        <f>ADMISSION!D39</f>
        <v>9558776923</v>
      </c>
      <c r="D39" s="228">
        <f>ADMISSION!J39</f>
        <v>14500</v>
      </c>
      <c r="E39" s="228">
        <f>ADMISSION!K39</f>
        <v>1500</v>
      </c>
      <c r="F39" s="228">
        <f>ADMISSION!L39</f>
        <v>13000</v>
      </c>
      <c r="G39" s="228">
        <f>ADMISSION!M39</f>
        <v>3000</v>
      </c>
      <c r="H39" s="228">
        <f>ADMISSION!N39</f>
        <v>10000</v>
      </c>
      <c r="I39" s="230" t="str">
        <f t="shared" si="0"/>
        <v>send msg</v>
      </c>
    </row>
    <row r="40" spans="1:9" ht="24.75" customHeight="1">
      <c r="A40" t="str">
        <f>ADMISSION!B40</f>
        <v>Mahek Khatun Jahirul Hasan Khan</v>
      </c>
      <c r="B40" s="228" t="str">
        <f>ADMISSION!C40</f>
        <v>10th</v>
      </c>
      <c r="C40" s="229">
        <f>ADMISSION!D40</f>
        <v>7436071998</v>
      </c>
      <c r="D40" s="228">
        <f>ADMISSION!J40</f>
        <v>12500</v>
      </c>
      <c r="E40" s="228">
        <f>ADMISSION!K40</f>
        <v>1700</v>
      </c>
      <c r="F40" s="228">
        <f>ADMISSION!L40</f>
        <v>10800</v>
      </c>
      <c r="G40" s="228">
        <f>ADMISSION!M40</f>
        <v>3800</v>
      </c>
      <c r="H40" s="228">
        <f>ADMISSION!N40</f>
        <v>7000</v>
      </c>
      <c r="I40" s="230" t="str">
        <f t="shared" si="0"/>
        <v>send msg</v>
      </c>
    </row>
    <row r="41" spans="1:9" ht="24.75" customHeight="1">
      <c r="A41" t="str">
        <f>ADMISSION!B41</f>
        <v>Aafiya Bibi Mo. Majid Shaikh</v>
      </c>
      <c r="B41" s="228" t="str">
        <f>ADMISSION!C41</f>
        <v>10th</v>
      </c>
      <c r="C41" s="229">
        <f>ADMISSION!D41</f>
        <v>8347358505</v>
      </c>
      <c r="D41" s="228">
        <f>ADMISSION!J41</f>
        <v>12500</v>
      </c>
      <c r="E41" s="228">
        <f>ADMISSION!K41</f>
        <v>2000</v>
      </c>
      <c r="F41" s="228">
        <f>ADMISSION!L41</f>
        <v>10500</v>
      </c>
      <c r="G41" s="228">
        <f>ADMISSION!M41</f>
        <v>3000</v>
      </c>
      <c r="H41" s="228">
        <f>ADMISSION!N41</f>
        <v>7500</v>
      </c>
      <c r="I41" s="230" t="str">
        <f t="shared" si="0"/>
        <v>send msg</v>
      </c>
    </row>
    <row r="42" spans="1:9" ht="24.75" customHeight="1">
      <c r="A42" t="str">
        <f>ADMISSION!B42</f>
        <v>Rajiuddin Rafiuddin Shaikh</v>
      </c>
      <c r="B42" s="228" t="str">
        <f>ADMISSION!C42</f>
        <v>12th</v>
      </c>
      <c r="C42" s="229">
        <f>ADMISSION!D42</f>
        <v>9510714229</v>
      </c>
      <c r="D42" s="228">
        <f>ADMISSION!J42</f>
        <v>14500</v>
      </c>
      <c r="E42" s="228">
        <f>ADMISSION!K42</f>
        <v>0</v>
      </c>
      <c r="F42" s="228">
        <f>ADMISSION!L42</f>
        <v>14500</v>
      </c>
      <c r="G42" s="228">
        <f>ADMISSION!M42</f>
        <v>2000</v>
      </c>
      <c r="H42" s="228">
        <f>ADMISSION!N42</f>
        <v>12500</v>
      </c>
      <c r="I42" s="230" t="str">
        <f t="shared" si="0"/>
        <v>send msg</v>
      </c>
    </row>
    <row r="43" spans="1:9" ht="24.75" customHeight="1">
      <c r="A43" t="str">
        <f>ADMISSION!B43</f>
        <v>Abuzar Afzal Khan</v>
      </c>
      <c r="B43" s="228" t="str">
        <f>ADMISSION!C43</f>
        <v>10th</v>
      </c>
      <c r="C43" s="229">
        <f>ADMISSION!D43</f>
        <v>9265196193</v>
      </c>
      <c r="D43" s="228">
        <f>ADMISSION!J43</f>
        <v>12500</v>
      </c>
      <c r="E43" s="228">
        <f>ADMISSION!K43</f>
        <v>0</v>
      </c>
      <c r="F43" s="228">
        <f>ADMISSION!L43</f>
        <v>12500</v>
      </c>
      <c r="G43" s="228">
        <f>ADMISSION!M43</f>
        <v>3000</v>
      </c>
      <c r="H43" s="228">
        <f>ADMISSION!N43</f>
        <v>9500</v>
      </c>
      <c r="I43" s="230" t="str">
        <f t="shared" si="0"/>
        <v>send msg</v>
      </c>
    </row>
    <row r="44" spans="1:9" ht="24.75" customHeight="1">
      <c r="A44" t="str">
        <f>ADMISSION!B44</f>
        <v>Smit Sureshbhai Solanki</v>
      </c>
      <c r="B44" s="228" t="str">
        <f>ADMISSION!C44</f>
        <v>12th</v>
      </c>
      <c r="C44" s="229">
        <f>ADMISSION!D44</f>
        <v>8511160752</v>
      </c>
      <c r="D44" s="228">
        <f>ADMISSION!J44</f>
        <v>14500</v>
      </c>
      <c r="E44" s="228">
        <f>ADMISSION!K44</f>
        <v>0</v>
      </c>
      <c r="F44" s="228">
        <f>ADMISSION!L44</f>
        <v>14500</v>
      </c>
      <c r="G44" s="228">
        <f>ADMISSION!M44</f>
        <v>0</v>
      </c>
      <c r="H44" s="228">
        <f>ADMISSION!N44</f>
        <v>14500</v>
      </c>
      <c r="I44" s="230" t="str">
        <f t="shared" si="0"/>
        <v>send msg</v>
      </c>
    </row>
    <row r="45" spans="1:9" ht="24.75" customHeight="1">
      <c r="A45" t="str">
        <f>ADMISSION!B45</f>
        <v>Rabiya Mustakbhai Solanki</v>
      </c>
      <c r="B45" s="228" t="str">
        <f>ADMISSION!C45</f>
        <v>12th</v>
      </c>
      <c r="C45" s="229">
        <f>ADMISSION!D45</f>
        <v>9033081709</v>
      </c>
      <c r="D45" s="228">
        <f>ADMISSION!J45</f>
        <v>14500</v>
      </c>
      <c r="E45" s="228">
        <f>ADMISSION!K45</f>
        <v>700</v>
      </c>
      <c r="F45" s="228">
        <f>ADMISSION!L45</f>
        <v>13800</v>
      </c>
      <c r="G45" s="228">
        <f>ADMISSION!M45</f>
        <v>5000</v>
      </c>
      <c r="H45" s="228">
        <f>ADMISSION!N45</f>
        <v>8800</v>
      </c>
      <c r="I45" s="230" t="str">
        <f t="shared" si="0"/>
        <v>send msg</v>
      </c>
    </row>
    <row r="46" spans="1:9" ht="24.75" customHeight="1">
      <c r="A46" t="str">
        <f>ADMISSION!B46</f>
        <v>Asad Imran Shaikh</v>
      </c>
      <c r="B46" s="228" t="str">
        <f>ADMISSION!C46</f>
        <v>11th</v>
      </c>
      <c r="C46" s="229">
        <v>9016605483</v>
      </c>
      <c r="D46" s="228">
        <f>ADMISSION!J46</f>
        <v>13000</v>
      </c>
      <c r="E46" s="228">
        <f>ADMISSION!K46</f>
        <v>0</v>
      </c>
      <c r="F46" s="228">
        <f>ADMISSION!L46</f>
        <v>13000</v>
      </c>
      <c r="G46" s="228">
        <f>ADMISSION!M46</f>
        <v>0</v>
      </c>
      <c r="H46" s="228">
        <f>ADMISSION!N46</f>
        <v>13000</v>
      </c>
      <c r="I46" s="230" t="str">
        <f t="shared" si="0"/>
        <v>send msg</v>
      </c>
    </row>
    <row r="47" spans="1:9" ht="24.75" customHeight="1">
      <c r="A47" t="str">
        <f>ADMISSION!B47</f>
        <v>Mohammad Aashir Khursidhusen Shaikh</v>
      </c>
      <c r="B47" s="228" t="str">
        <f>ADMISSION!C47</f>
        <v>10th</v>
      </c>
      <c r="C47" s="229">
        <f>ADMISSION!D47</f>
        <v>9512951714</v>
      </c>
      <c r="D47" s="228">
        <f>ADMISSION!J47</f>
        <v>12500</v>
      </c>
      <c r="E47" s="228">
        <f>ADMISSION!K47</f>
        <v>0</v>
      </c>
      <c r="F47" s="228">
        <f>ADMISSION!L47</f>
        <v>12500</v>
      </c>
      <c r="G47" s="228">
        <f>ADMISSION!M47</f>
        <v>3000</v>
      </c>
      <c r="H47" s="228">
        <f>ADMISSION!N47</f>
        <v>9500</v>
      </c>
      <c r="I47" s="230" t="str">
        <f t="shared" si="0"/>
        <v>send msg</v>
      </c>
    </row>
    <row r="48" spans="1:9" ht="24.75" customHeight="1">
      <c r="A48" t="str">
        <f>ADMISSION!B48</f>
        <v>Umar Munavvar Hussainn Mansuri</v>
      </c>
      <c r="B48" s="228" t="str">
        <f>ADMISSION!C48</f>
        <v>11th</v>
      </c>
      <c r="C48" s="229">
        <f>ADMISSION!D48</f>
        <v>9277777726</v>
      </c>
      <c r="D48" s="228">
        <f>ADMISSION!J48</f>
        <v>13000</v>
      </c>
      <c r="E48" s="228">
        <f>ADMISSION!K48</f>
        <v>0</v>
      </c>
      <c r="F48" s="228">
        <f>ADMISSION!L48</f>
        <v>13000</v>
      </c>
      <c r="G48" s="228">
        <f>ADMISSION!M48</f>
        <v>1500</v>
      </c>
      <c r="H48" s="228">
        <f>ADMISSION!N48</f>
        <v>11500</v>
      </c>
      <c r="I48" s="230" t="str">
        <f t="shared" si="0"/>
        <v>send msg</v>
      </c>
    </row>
    <row r="49" spans="1:9" ht="24.75" customHeight="1">
      <c r="A49" t="str">
        <f>ADMISSION!B49</f>
        <v>Juned Bhohariya</v>
      </c>
      <c r="B49" s="228" t="str">
        <f>ADMISSION!C49</f>
        <v>11th</v>
      </c>
      <c r="C49" s="229">
        <f>ADMISSION!D49</f>
        <v>7043863954</v>
      </c>
      <c r="D49" s="228">
        <f>ADMISSION!J49</f>
        <v>13000</v>
      </c>
      <c r="E49" s="228">
        <f>ADMISSION!K49</f>
        <v>0</v>
      </c>
      <c r="F49" s="228">
        <f>ADMISSION!L49</f>
        <v>13000</v>
      </c>
      <c r="G49" s="228">
        <f>ADMISSION!M49</f>
        <v>0</v>
      </c>
      <c r="H49" s="228">
        <f>ADMISSION!N49</f>
        <v>13000</v>
      </c>
      <c r="I49" s="230" t="str">
        <f t="shared" si="0"/>
        <v>send msg</v>
      </c>
    </row>
    <row r="50" spans="1:9" ht="24.75" customHeight="1">
      <c r="A50" t="str">
        <f>ADMISSION!B50</f>
        <v>Aamir Shaikh</v>
      </c>
      <c r="B50" s="228" t="str">
        <f>ADMISSION!C50</f>
        <v>11th</v>
      </c>
      <c r="C50" s="229">
        <f>ADMISSION!D50</f>
        <v>7862983313</v>
      </c>
      <c r="D50" s="228">
        <f>ADMISSION!J50</f>
        <v>13000</v>
      </c>
      <c r="E50" s="228">
        <f>ADMISSION!K50</f>
        <v>0</v>
      </c>
      <c r="F50" s="228">
        <f>ADMISSION!L50</f>
        <v>13000</v>
      </c>
      <c r="G50" s="228">
        <f>ADMISSION!M50</f>
        <v>1500</v>
      </c>
      <c r="H50" s="228">
        <f>ADMISSION!N50</f>
        <v>11500</v>
      </c>
      <c r="I50" s="230" t="str">
        <f t="shared" si="0"/>
        <v>send msg</v>
      </c>
    </row>
    <row r="51" spans="1:9" ht="24.75" customHeight="1">
      <c r="A51" t="str">
        <f>ADMISSION!B51</f>
        <v>Humaira Ilyas Lakkad</v>
      </c>
      <c r="B51" s="228" t="str">
        <f>ADMISSION!C51</f>
        <v>11th</v>
      </c>
      <c r="C51" s="229">
        <f>ADMISSION!D51</f>
        <v>7862063648</v>
      </c>
      <c r="D51" s="228">
        <f>ADMISSION!J51</f>
        <v>13000</v>
      </c>
      <c r="E51" s="228">
        <f>ADMISSION!K51</f>
        <v>700</v>
      </c>
      <c r="F51" s="228">
        <f>ADMISSION!L51</f>
        <v>12300</v>
      </c>
      <c r="G51" s="228">
        <f>ADMISSION!M51</f>
        <v>2000</v>
      </c>
      <c r="H51" s="228">
        <f>ADMISSION!N51</f>
        <v>10300</v>
      </c>
      <c r="I51" s="230" t="str">
        <f t="shared" si="0"/>
        <v>send msg</v>
      </c>
    </row>
    <row r="52" spans="1:9" ht="24.75" customHeight="1">
      <c r="A52" t="str">
        <f>ADMISSION!B52</f>
        <v>Aahil abidbhai kureshi</v>
      </c>
      <c r="B52" s="228" t="str">
        <f>ADMISSION!C52</f>
        <v>4th</v>
      </c>
      <c r="C52" s="229">
        <f>ADMISSION!D52</f>
        <v>7874789242</v>
      </c>
      <c r="D52" s="228">
        <f>ADMISSION!J52</f>
        <v>4500</v>
      </c>
      <c r="E52" s="228">
        <f>ADMISSION!K52</f>
        <v>0</v>
      </c>
      <c r="F52" s="228">
        <f>ADMISSION!L52</f>
        <v>4500</v>
      </c>
      <c r="G52" s="228">
        <f>ADMISSION!M52</f>
        <v>1000</v>
      </c>
      <c r="H52" s="228">
        <f>ADMISSION!N52</f>
        <v>3500</v>
      </c>
      <c r="I52" s="230" t="str">
        <f t="shared" si="0"/>
        <v>send msg</v>
      </c>
    </row>
    <row r="53" spans="1:9" ht="24.75" customHeight="1">
      <c r="A53" t="str">
        <f>ADMISSION!B53</f>
        <v>Misbabanu Ismailmiya Malek</v>
      </c>
      <c r="B53" s="228" t="str">
        <f>ADMISSION!C53</f>
        <v>10th</v>
      </c>
      <c r="C53" s="229">
        <f>ADMISSION!D53</f>
        <v>9727137039</v>
      </c>
      <c r="D53" s="228">
        <f>ADMISSION!J53</f>
        <v>12500</v>
      </c>
      <c r="E53" s="228">
        <f>ADMISSION!K53</f>
        <v>700</v>
      </c>
      <c r="F53" s="228">
        <f>ADMISSION!L53</f>
        <v>11800</v>
      </c>
      <c r="G53" s="228">
        <f>ADMISSION!M53</f>
        <v>3000</v>
      </c>
      <c r="H53" s="228">
        <f>ADMISSION!N53</f>
        <v>8800</v>
      </c>
      <c r="I53" s="230" t="str">
        <f t="shared" si="0"/>
        <v>send msg</v>
      </c>
    </row>
    <row r="54" spans="1:9" ht="24.75" customHeight="1">
      <c r="A54" t="str">
        <f>ADMISSION!B54</f>
        <v>Aliya Faiz mohammad Chichi</v>
      </c>
      <c r="B54" s="228" t="str">
        <f>ADMISSION!C54</f>
        <v>10th</v>
      </c>
      <c r="C54" s="229">
        <f>ADMISSION!D54</f>
        <v>9879116420</v>
      </c>
      <c r="D54" s="228">
        <f>ADMISSION!J54</f>
        <v>12500</v>
      </c>
      <c r="E54" s="228">
        <f>ADMISSION!K54</f>
        <v>700</v>
      </c>
      <c r="F54" s="228">
        <f>ADMISSION!L54</f>
        <v>11800</v>
      </c>
      <c r="G54" s="228">
        <f>ADMISSION!M54</f>
        <v>3000</v>
      </c>
      <c r="H54" s="228">
        <f>ADMISSION!N54</f>
        <v>8800</v>
      </c>
      <c r="I54" s="230" t="str">
        <f t="shared" si="0"/>
        <v>send msg</v>
      </c>
    </row>
    <row r="55" spans="1:9" ht="24.75" customHeight="1">
      <c r="A55" t="str">
        <f>ADMISSION!B55</f>
        <v>Hajra Faiz mohammad Chichi</v>
      </c>
      <c r="B55" s="228" t="str">
        <f>ADMISSION!C55</f>
        <v>8th</v>
      </c>
      <c r="C55" s="229">
        <f>ADMISSION!D55</f>
        <v>9879116420</v>
      </c>
      <c r="D55" s="228">
        <f>ADMISSION!J55</f>
        <v>8000</v>
      </c>
      <c r="E55" s="228">
        <f>ADMISSION!K55</f>
        <v>500</v>
      </c>
      <c r="F55" s="228">
        <f>ADMISSION!L55</f>
        <v>7500</v>
      </c>
      <c r="G55" s="228">
        <f>ADMISSION!M55</f>
        <v>2000</v>
      </c>
      <c r="H55" s="228">
        <f>ADMISSION!N55</f>
        <v>5500</v>
      </c>
      <c r="I55" s="230" t="str">
        <f t="shared" si="0"/>
        <v>send msg</v>
      </c>
    </row>
    <row r="56" spans="1:9" ht="24.75" customHeight="1">
      <c r="A56" t="str">
        <f>ADMISSION!B56</f>
        <v>Inaya Mohammad Azam Khan</v>
      </c>
      <c r="B56" s="228" t="str">
        <f>ADMISSION!C56</f>
        <v>1st</v>
      </c>
      <c r="C56" s="229">
        <f>ADMISSION!D56</f>
        <v>9727997744</v>
      </c>
      <c r="D56" s="228">
        <f>ADMISSION!J56</f>
        <v>3000</v>
      </c>
      <c r="E56" s="228">
        <f>ADMISSION!K56</f>
        <v>200</v>
      </c>
      <c r="F56" s="228">
        <f>ADMISSION!L56</f>
        <v>2800</v>
      </c>
      <c r="G56" s="228">
        <f>ADMISSION!M56</f>
        <v>500</v>
      </c>
      <c r="H56" s="228">
        <f>ADMISSION!N56</f>
        <v>2300</v>
      </c>
      <c r="I56" s="230" t="str">
        <f t="shared" si="0"/>
        <v>send msg</v>
      </c>
    </row>
    <row r="57" spans="1:9" ht="24.75" customHeight="1">
      <c r="A57" t="str">
        <f>ADMISSION!B57</f>
        <v>Alimabanu Mohammad Azam Khan</v>
      </c>
      <c r="B57" s="228" t="str">
        <f>ADMISSION!C57</f>
        <v>3rd</v>
      </c>
      <c r="C57" s="229">
        <f>ADMISSION!D57</f>
        <v>9727997744</v>
      </c>
      <c r="D57" s="228">
        <f>ADMISSION!J57</f>
        <v>4000</v>
      </c>
      <c r="E57" s="228">
        <f>ADMISSION!K57</f>
        <v>300</v>
      </c>
      <c r="F57" s="228">
        <f>ADMISSION!L57</f>
        <v>3700</v>
      </c>
      <c r="G57" s="228">
        <f>ADMISSION!M57</f>
        <v>500</v>
      </c>
      <c r="H57" s="228">
        <f>ADMISSION!N57</f>
        <v>3200</v>
      </c>
      <c r="I57" s="230" t="str">
        <f t="shared" si="0"/>
        <v>send msg</v>
      </c>
    </row>
    <row r="58" spans="1:9" ht="24.75" customHeight="1">
      <c r="A58" t="str">
        <f>ADMISSION!B58</f>
        <v>Halima Rafik shaikh</v>
      </c>
      <c r="B58" s="228" t="str">
        <f>ADMISSION!C58</f>
        <v>10th</v>
      </c>
      <c r="C58" s="229">
        <f>ADMISSION!D58</f>
        <v>9825981417</v>
      </c>
      <c r="D58" s="228">
        <f>ADMISSION!J58</f>
        <v>12500</v>
      </c>
      <c r="E58" s="228">
        <f>ADMISSION!K58</f>
        <v>700</v>
      </c>
      <c r="F58" s="228">
        <f>ADMISSION!L58</f>
        <v>11800</v>
      </c>
      <c r="G58" s="228">
        <f>ADMISSION!M58</f>
        <v>3000</v>
      </c>
      <c r="H58" s="228">
        <f>ADMISSION!N58</f>
        <v>8800</v>
      </c>
      <c r="I58" s="230" t="str">
        <f t="shared" si="0"/>
        <v>send msg</v>
      </c>
    </row>
    <row r="59" spans="1:9" ht="24.75" customHeight="1">
      <c r="A59" t="str">
        <f>ADMISSION!B59</f>
        <v xml:space="preserve">Mo. Nawaz mo. Irfan Shaikh </v>
      </c>
      <c r="B59" s="228" t="str">
        <f>ADMISSION!C59</f>
        <v>8th</v>
      </c>
      <c r="C59" s="229">
        <f>ADMISSION!D59</f>
        <v>7041818259</v>
      </c>
      <c r="D59" s="228">
        <f>ADMISSION!J59</f>
        <v>8000</v>
      </c>
      <c r="E59" s="228">
        <f>ADMISSION!K59</f>
        <v>0</v>
      </c>
      <c r="F59" s="228">
        <f>ADMISSION!L59</f>
        <v>8000</v>
      </c>
      <c r="G59" s="228">
        <f>ADMISSION!M59</f>
        <v>1000</v>
      </c>
      <c r="H59" s="228">
        <f>ADMISSION!N59</f>
        <v>7000</v>
      </c>
      <c r="I59" s="230" t="str">
        <f t="shared" si="0"/>
        <v>send msg</v>
      </c>
    </row>
    <row r="60" spans="1:9" ht="24.75" customHeight="1">
      <c r="A60" t="str">
        <f>ADMISSION!B60</f>
        <v>Ujefa Yasinbhai Selot</v>
      </c>
      <c r="B60" s="228" t="str">
        <f>ADMISSION!C60</f>
        <v>7th</v>
      </c>
      <c r="C60" s="229">
        <f>ADMISSION!D60</f>
        <v>8141425975</v>
      </c>
      <c r="D60" s="228">
        <f>ADMISSION!J60</f>
        <v>7000</v>
      </c>
      <c r="E60" s="228">
        <f>ADMISSION!K60</f>
        <v>0</v>
      </c>
      <c r="F60" s="228">
        <f>ADMISSION!L60</f>
        <v>7000</v>
      </c>
      <c r="G60" s="228">
        <f>ADMISSION!M60</f>
        <v>2000</v>
      </c>
      <c r="H60" s="228">
        <f>ADMISSION!N60</f>
        <v>5000</v>
      </c>
      <c r="I60" s="230" t="str">
        <f t="shared" si="0"/>
        <v>send msg</v>
      </c>
    </row>
    <row r="61" spans="1:9" ht="24.75" customHeight="1">
      <c r="A61" t="str">
        <f>ADMISSION!B61</f>
        <v>Samir Rahimbhai Mahetar</v>
      </c>
      <c r="B61" s="228" t="str">
        <f>ADMISSION!C61</f>
        <v>7th</v>
      </c>
      <c r="C61" s="229">
        <f>ADMISSION!D61</f>
        <v>9265362134</v>
      </c>
      <c r="D61" s="228">
        <f>ADMISSION!J61</f>
        <v>7000</v>
      </c>
      <c r="E61" s="228">
        <f>ADMISSION!K61</f>
        <v>0</v>
      </c>
      <c r="F61" s="228">
        <f>ADMISSION!L61</f>
        <v>7000</v>
      </c>
      <c r="G61" s="228">
        <f>ADMISSION!M61</f>
        <v>1000</v>
      </c>
      <c r="H61" s="228">
        <f>ADMISSION!N61</f>
        <v>6000</v>
      </c>
      <c r="I61" s="230" t="str">
        <f t="shared" si="0"/>
        <v>send msg</v>
      </c>
    </row>
    <row r="62" spans="1:9" ht="24.75" customHeight="1">
      <c r="A62" t="str">
        <f>ADMISSION!B62</f>
        <v>Mohammad Sarfaraj Rajakbhai Bilakhya</v>
      </c>
      <c r="B62" s="228" t="str">
        <f>ADMISSION!C62</f>
        <v>9th</v>
      </c>
      <c r="C62" s="229">
        <f>ADMISSION!D62</f>
        <v>9909397360</v>
      </c>
      <c r="D62" s="228">
        <f>ADMISSION!J62</f>
        <v>9500</v>
      </c>
      <c r="E62" s="228">
        <f>ADMISSION!K62</f>
        <v>0</v>
      </c>
      <c r="F62" s="228">
        <f>ADMISSION!L62</f>
        <v>9500</v>
      </c>
      <c r="G62" s="228">
        <f>ADMISSION!M62</f>
        <v>2000</v>
      </c>
      <c r="H62" s="228">
        <f>ADMISSION!N62</f>
        <v>7500</v>
      </c>
      <c r="I62" s="230" t="str">
        <f t="shared" si="0"/>
        <v>send msg</v>
      </c>
    </row>
    <row r="63" spans="1:9" ht="24.75" customHeight="1">
      <c r="A63" t="str">
        <f>ADMISSION!B63</f>
        <v>Mohammad Mahir Zahir Multani</v>
      </c>
      <c r="B63" s="228" t="str">
        <f>ADMISSION!C63</f>
        <v>1st</v>
      </c>
      <c r="C63" s="229">
        <f>ADMISSION!D63</f>
        <v>9727273030</v>
      </c>
      <c r="D63" s="228">
        <f>ADMISSION!J63</f>
        <v>3000</v>
      </c>
      <c r="E63" s="228">
        <f>ADMISSION!K63</f>
        <v>0</v>
      </c>
      <c r="F63" s="228">
        <f>ADMISSION!L63</f>
        <v>3000</v>
      </c>
      <c r="G63" s="228">
        <f>ADMISSION!M63</f>
        <v>1500</v>
      </c>
      <c r="H63" s="228">
        <f>ADMISSION!N63</f>
        <v>1500</v>
      </c>
      <c r="I63" s="230" t="str">
        <f t="shared" si="0"/>
        <v>send msg</v>
      </c>
    </row>
    <row r="64" spans="1:9" ht="24.75" customHeight="1">
      <c r="A64" t="str">
        <f>ADMISSION!B64</f>
        <v>Ali Altafbhai Motiyani</v>
      </c>
      <c r="B64" s="228" t="str">
        <f>ADMISSION!C64</f>
        <v>10th</v>
      </c>
      <c r="C64" s="229">
        <f>ADMISSION!D64</f>
        <v>9979409751</v>
      </c>
      <c r="D64" s="228">
        <f>ADMISSION!J64</f>
        <v>12500</v>
      </c>
      <c r="E64" s="228">
        <f>ADMISSION!K64</f>
        <v>0</v>
      </c>
      <c r="F64" s="228">
        <f>ADMISSION!L64</f>
        <v>12500</v>
      </c>
      <c r="G64" s="228">
        <f>ADMISSION!M64</f>
        <v>6250</v>
      </c>
      <c r="H64" s="228">
        <f>ADMISSION!N64</f>
        <v>6250</v>
      </c>
      <c r="I64" s="230" t="str">
        <f t="shared" si="0"/>
        <v>send msg</v>
      </c>
    </row>
    <row r="65" spans="1:9" ht="24.75" customHeight="1">
      <c r="A65">
        <f>ADMISSION!B65</f>
        <v>0</v>
      </c>
      <c r="B65" s="228">
        <f>ADMISSION!C65</f>
        <v>0</v>
      </c>
      <c r="C65" s="229">
        <f>ADMISSION!D65</f>
        <v>0</v>
      </c>
      <c r="D65" s="228" t="str">
        <f>ADMISSION!J65</f>
        <v/>
      </c>
      <c r="E65" s="228" t="str">
        <f>ADMISSION!K65</f>
        <v/>
      </c>
      <c r="F65" s="228" t="str">
        <f>ADMISSION!L65</f>
        <v/>
      </c>
      <c r="G65" s="228" t="str">
        <f>ADMISSION!M65</f>
        <v/>
      </c>
      <c r="H65" s="228" t="str">
        <f>ADMISSION!N65</f>
        <v/>
      </c>
      <c r="I65" s="230" t="str">
        <f t="shared" si="0"/>
        <v>send msg</v>
      </c>
    </row>
    <row r="66" spans="1:9" ht="24.75" customHeight="1">
      <c r="A66">
        <f>ADMISSION!B66</f>
        <v>0</v>
      </c>
      <c r="B66" s="228">
        <f>ADMISSION!C66</f>
        <v>0</v>
      </c>
      <c r="C66" s="229">
        <f>ADMISSION!D66</f>
        <v>0</v>
      </c>
      <c r="D66" s="228" t="str">
        <f>ADMISSION!J66</f>
        <v/>
      </c>
      <c r="E66" s="228" t="str">
        <f>ADMISSION!K66</f>
        <v/>
      </c>
      <c r="F66" s="228" t="str">
        <f>ADMISSION!L66</f>
        <v/>
      </c>
      <c r="G66" s="228" t="str">
        <f>ADMISSION!M66</f>
        <v/>
      </c>
      <c r="H66" s="228" t="str">
        <f>ADMISSION!N66</f>
        <v/>
      </c>
      <c r="I66" s="230" t="str">
        <f t="shared" si="0"/>
        <v>send msg</v>
      </c>
    </row>
    <row r="67" spans="1:9" ht="24.75" customHeight="1">
      <c r="A67">
        <f>ADMISSION!B67</f>
        <v>0</v>
      </c>
      <c r="B67" s="228">
        <f>ADMISSION!C67</f>
        <v>0</v>
      </c>
      <c r="C67" s="229">
        <f>ADMISSION!D67</f>
        <v>0</v>
      </c>
      <c r="D67" s="228" t="str">
        <f>ADMISSION!J67</f>
        <v/>
      </c>
      <c r="E67" s="228" t="str">
        <f>ADMISSION!K67</f>
        <v/>
      </c>
      <c r="F67" s="228" t="str">
        <f>ADMISSION!L67</f>
        <v/>
      </c>
      <c r="G67" s="228" t="str">
        <f>ADMISSION!M67</f>
        <v/>
      </c>
      <c r="H67" s="228" t="str">
        <f>ADMISSION!N67</f>
        <v/>
      </c>
      <c r="I67" s="230" t="str">
        <f t="shared" ref="I67:I88" si="1">HYPERLINK("https://api.whatsapp.com/send?phone=" &amp; C67 &amp;"&amp;text=" &amp; "વિષય: ફી ભરવા નોંધ%0A"&amp;"નામ:"&amp;A67&amp;"%0A"&amp;"ધોરણ:"&amp;B67&amp;"%0A"&amp;"કુલ ફી:"&amp;F67&amp;"%0A"&amp;"ભરેલ ફી:"&amp;G67&amp;"%0A"&amp;"બાકી ફી:"&amp;H67&amp;"%0A"&amp;"બાકી ફી ભરવા વિનંતી"&amp;"UPI No: 9998477778%0A"&amp;"Knowledge Point Tution Class","send msg")</f>
        <v>send msg</v>
      </c>
    </row>
    <row r="68" spans="1:9" ht="24.75" customHeight="1">
      <c r="A68">
        <f>ADMISSION!B68</f>
        <v>0</v>
      </c>
      <c r="B68" s="228">
        <f>ADMISSION!C68</f>
        <v>0</v>
      </c>
      <c r="C68" s="229">
        <f>ADMISSION!D68</f>
        <v>0</v>
      </c>
      <c r="D68" s="228" t="str">
        <f>ADMISSION!J68</f>
        <v/>
      </c>
      <c r="E68" s="228" t="str">
        <f>ADMISSION!K68</f>
        <v/>
      </c>
      <c r="F68" s="228" t="str">
        <f>ADMISSION!L68</f>
        <v/>
      </c>
      <c r="G68" s="228" t="str">
        <f>ADMISSION!M68</f>
        <v/>
      </c>
      <c r="H68" s="228" t="str">
        <f>ADMISSION!N68</f>
        <v/>
      </c>
      <c r="I68" s="230" t="str">
        <f t="shared" si="1"/>
        <v>send msg</v>
      </c>
    </row>
    <row r="69" spans="1:9" ht="24.75" customHeight="1">
      <c r="A69">
        <f>ADMISSION!B69</f>
        <v>0</v>
      </c>
      <c r="B69" s="228">
        <f>ADMISSION!C69</f>
        <v>0</v>
      </c>
      <c r="C69" s="229">
        <f>ADMISSION!D69</f>
        <v>0</v>
      </c>
      <c r="D69" s="228" t="str">
        <f>ADMISSION!J69</f>
        <v/>
      </c>
      <c r="E69" s="228" t="str">
        <f>ADMISSION!K69</f>
        <v/>
      </c>
      <c r="F69" s="228" t="str">
        <f>ADMISSION!L69</f>
        <v/>
      </c>
      <c r="G69" s="228" t="str">
        <f>ADMISSION!M69</f>
        <v/>
      </c>
      <c r="H69" s="228" t="str">
        <f>ADMISSION!N69</f>
        <v/>
      </c>
      <c r="I69" s="230" t="str">
        <f t="shared" si="1"/>
        <v>send msg</v>
      </c>
    </row>
    <row r="70" spans="1:9" ht="24.75" customHeight="1">
      <c r="A70">
        <f>ADMISSION!B70</f>
        <v>0</v>
      </c>
      <c r="B70" s="228">
        <f>ADMISSION!C70</f>
        <v>0</v>
      </c>
      <c r="C70" s="229">
        <f>ADMISSION!D70</f>
        <v>0</v>
      </c>
      <c r="D70" s="228" t="str">
        <f>ADMISSION!J70</f>
        <v/>
      </c>
      <c r="E70" s="228" t="str">
        <f>ADMISSION!K70</f>
        <v/>
      </c>
      <c r="F70" s="228" t="str">
        <f>ADMISSION!L70</f>
        <v/>
      </c>
      <c r="G70" s="228" t="str">
        <f>ADMISSION!M70</f>
        <v/>
      </c>
      <c r="H70" s="228" t="str">
        <f>ADMISSION!N70</f>
        <v/>
      </c>
      <c r="I70" s="230" t="str">
        <f t="shared" si="1"/>
        <v>send msg</v>
      </c>
    </row>
    <row r="71" spans="1:9" ht="24.75" customHeight="1">
      <c r="A71">
        <f>ADMISSION!B71</f>
        <v>0</v>
      </c>
      <c r="B71" s="228">
        <f>ADMISSION!C71</f>
        <v>0</v>
      </c>
      <c r="C71" s="229">
        <f>ADMISSION!D71</f>
        <v>0</v>
      </c>
      <c r="D71" s="228" t="str">
        <f>ADMISSION!J71</f>
        <v/>
      </c>
      <c r="E71" s="228" t="str">
        <f>ADMISSION!K71</f>
        <v/>
      </c>
      <c r="F71" s="228" t="str">
        <f>ADMISSION!L71</f>
        <v/>
      </c>
      <c r="G71" s="228" t="str">
        <f>ADMISSION!M71</f>
        <v/>
      </c>
      <c r="H71" s="228" t="str">
        <f>ADMISSION!N71</f>
        <v/>
      </c>
      <c r="I71" s="230" t="str">
        <f t="shared" si="1"/>
        <v>send msg</v>
      </c>
    </row>
    <row r="72" spans="1:9" ht="24.75" customHeight="1">
      <c r="A72">
        <f>ADMISSION!B72</f>
        <v>0</v>
      </c>
      <c r="B72" s="228">
        <f>ADMISSION!C72</f>
        <v>0</v>
      </c>
      <c r="C72" s="229">
        <f>ADMISSION!D72</f>
        <v>0</v>
      </c>
      <c r="D72" s="228" t="str">
        <f>ADMISSION!J72</f>
        <v/>
      </c>
      <c r="E72" s="228" t="str">
        <f>ADMISSION!K72</f>
        <v/>
      </c>
      <c r="F72" s="228" t="str">
        <f>ADMISSION!L72</f>
        <v/>
      </c>
      <c r="G72" s="228" t="str">
        <f>ADMISSION!M72</f>
        <v/>
      </c>
      <c r="H72" s="228" t="str">
        <f>ADMISSION!N72</f>
        <v/>
      </c>
      <c r="I72" s="230" t="str">
        <f t="shared" si="1"/>
        <v>send msg</v>
      </c>
    </row>
    <row r="73" spans="1:9" ht="24.75" customHeight="1">
      <c r="A73">
        <f>ADMISSION!B73</f>
        <v>0</v>
      </c>
      <c r="B73" s="228">
        <f>ADMISSION!C73</f>
        <v>0</v>
      </c>
      <c r="C73" s="229">
        <f>ADMISSION!D73</f>
        <v>0</v>
      </c>
      <c r="D73" s="228" t="str">
        <f>ADMISSION!J73</f>
        <v/>
      </c>
      <c r="E73" s="228" t="str">
        <f>ADMISSION!K73</f>
        <v/>
      </c>
      <c r="F73" s="228" t="str">
        <f>ADMISSION!L73</f>
        <v/>
      </c>
      <c r="G73" s="228" t="str">
        <f>ADMISSION!M73</f>
        <v/>
      </c>
      <c r="H73" s="228" t="str">
        <f>ADMISSION!N73</f>
        <v/>
      </c>
      <c r="I73" s="230" t="str">
        <f t="shared" si="1"/>
        <v>send msg</v>
      </c>
    </row>
    <row r="74" spans="1:9" ht="24.75" customHeight="1">
      <c r="A74">
        <f>ADMISSION!B74</f>
        <v>0</v>
      </c>
      <c r="B74" s="228">
        <f>ADMISSION!C74</f>
        <v>0</v>
      </c>
      <c r="C74" s="229">
        <f>ADMISSION!D74</f>
        <v>0</v>
      </c>
      <c r="D74" s="228" t="str">
        <f>ADMISSION!J74</f>
        <v/>
      </c>
      <c r="E74" s="228" t="str">
        <f>ADMISSION!K74</f>
        <v/>
      </c>
      <c r="F74" s="228" t="str">
        <f>ADMISSION!L74</f>
        <v/>
      </c>
      <c r="G74" s="228" t="str">
        <f>ADMISSION!M74</f>
        <v/>
      </c>
      <c r="H74" s="228" t="str">
        <f>ADMISSION!N74</f>
        <v/>
      </c>
      <c r="I74" s="230" t="str">
        <f t="shared" si="1"/>
        <v>send msg</v>
      </c>
    </row>
    <row r="75" spans="1:9" ht="24.75" customHeight="1">
      <c r="A75">
        <f>ADMISSION!B75</f>
        <v>0</v>
      </c>
      <c r="B75" s="228">
        <f>ADMISSION!C75</f>
        <v>0</v>
      </c>
      <c r="C75" s="229">
        <f>ADMISSION!D75</f>
        <v>0</v>
      </c>
      <c r="D75" s="228" t="str">
        <f>ADMISSION!J75</f>
        <v/>
      </c>
      <c r="E75" s="228" t="str">
        <f>ADMISSION!K75</f>
        <v/>
      </c>
      <c r="F75" s="228" t="str">
        <f>ADMISSION!L75</f>
        <v/>
      </c>
      <c r="G75" s="228" t="str">
        <f>ADMISSION!M75</f>
        <v/>
      </c>
      <c r="H75" s="228" t="str">
        <f>ADMISSION!N75</f>
        <v/>
      </c>
      <c r="I75" s="230" t="str">
        <f t="shared" si="1"/>
        <v>send msg</v>
      </c>
    </row>
    <row r="76" spans="1:9" ht="24.75" customHeight="1">
      <c r="A76">
        <f>ADMISSION!B76</f>
        <v>0</v>
      </c>
      <c r="B76" s="228">
        <f>ADMISSION!C76</f>
        <v>0</v>
      </c>
      <c r="C76" s="229">
        <f>ADMISSION!D76</f>
        <v>0</v>
      </c>
      <c r="D76" s="228" t="str">
        <f>ADMISSION!J76</f>
        <v/>
      </c>
      <c r="E76" s="228" t="str">
        <f>ADMISSION!K76</f>
        <v/>
      </c>
      <c r="F76" s="228" t="str">
        <f>ADMISSION!L76</f>
        <v/>
      </c>
      <c r="G76" s="228" t="str">
        <f>ADMISSION!M76</f>
        <v/>
      </c>
      <c r="H76" s="228" t="str">
        <f>ADMISSION!N76</f>
        <v/>
      </c>
      <c r="I76" s="230" t="str">
        <f t="shared" si="1"/>
        <v>send msg</v>
      </c>
    </row>
    <row r="77" spans="1:9" ht="24.75" customHeight="1">
      <c r="A77">
        <f>ADMISSION!B77</f>
        <v>0</v>
      </c>
      <c r="B77" s="228">
        <f>ADMISSION!C77</f>
        <v>0</v>
      </c>
      <c r="C77" s="229">
        <f>ADMISSION!D77</f>
        <v>0</v>
      </c>
      <c r="D77" s="228" t="str">
        <f>ADMISSION!J77</f>
        <v/>
      </c>
      <c r="E77" s="228" t="str">
        <f>ADMISSION!K77</f>
        <v/>
      </c>
      <c r="F77" s="228" t="str">
        <f>ADMISSION!L77</f>
        <v/>
      </c>
      <c r="G77" s="228" t="str">
        <f>ADMISSION!M77</f>
        <v/>
      </c>
      <c r="H77" s="228" t="str">
        <f>ADMISSION!N77</f>
        <v/>
      </c>
      <c r="I77" s="230" t="str">
        <f t="shared" si="1"/>
        <v>send msg</v>
      </c>
    </row>
    <row r="78" spans="1:9" ht="24.75" customHeight="1">
      <c r="A78">
        <f>ADMISSION!B78</f>
        <v>0</v>
      </c>
      <c r="B78" s="228">
        <f>ADMISSION!C78</f>
        <v>0</v>
      </c>
      <c r="C78" s="229">
        <f>ADMISSION!D78</f>
        <v>0</v>
      </c>
      <c r="D78" s="228" t="str">
        <f>ADMISSION!J78</f>
        <v/>
      </c>
      <c r="E78" s="228" t="str">
        <f>ADMISSION!K78</f>
        <v/>
      </c>
      <c r="F78" s="228" t="str">
        <f>ADMISSION!L78</f>
        <v/>
      </c>
      <c r="G78" s="228" t="str">
        <f>ADMISSION!M78</f>
        <v/>
      </c>
      <c r="H78" s="228" t="str">
        <f>ADMISSION!N78</f>
        <v/>
      </c>
      <c r="I78" s="230" t="str">
        <f t="shared" si="1"/>
        <v>send msg</v>
      </c>
    </row>
    <row r="79" spans="1:9" ht="24.75" customHeight="1">
      <c r="A79">
        <f>ADMISSION!B79</f>
        <v>0</v>
      </c>
      <c r="B79" s="228">
        <f>ADMISSION!C79</f>
        <v>0</v>
      </c>
      <c r="C79" s="229">
        <f>ADMISSION!D79</f>
        <v>0</v>
      </c>
      <c r="D79" s="228" t="str">
        <f>ADMISSION!J79</f>
        <v/>
      </c>
      <c r="E79" s="228" t="str">
        <f>ADMISSION!K79</f>
        <v/>
      </c>
      <c r="F79" s="228" t="str">
        <f>ADMISSION!L79</f>
        <v/>
      </c>
      <c r="G79" s="228" t="str">
        <f>ADMISSION!M79</f>
        <v/>
      </c>
      <c r="H79" s="228" t="str">
        <f>ADMISSION!N79</f>
        <v/>
      </c>
      <c r="I79" s="230" t="str">
        <f t="shared" si="1"/>
        <v>send msg</v>
      </c>
    </row>
    <row r="80" spans="1:9" ht="24.75" customHeight="1">
      <c r="A80">
        <f>ADMISSION!B80</f>
        <v>0</v>
      </c>
      <c r="B80" s="228">
        <f>ADMISSION!C80</f>
        <v>0</v>
      </c>
      <c r="C80" s="229">
        <f>ADMISSION!D80</f>
        <v>0</v>
      </c>
      <c r="D80" s="228" t="str">
        <f>ADMISSION!J80</f>
        <v/>
      </c>
      <c r="E80" s="228" t="str">
        <f>ADMISSION!K80</f>
        <v/>
      </c>
      <c r="F80" s="228" t="str">
        <f>ADMISSION!L80</f>
        <v/>
      </c>
      <c r="G80" s="228" t="str">
        <f>ADMISSION!M80</f>
        <v/>
      </c>
      <c r="H80" s="228" t="str">
        <f>ADMISSION!N80</f>
        <v/>
      </c>
      <c r="I80" s="230" t="str">
        <f t="shared" si="1"/>
        <v>send msg</v>
      </c>
    </row>
    <row r="81" spans="1:9" ht="24.75" customHeight="1">
      <c r="A81">
        <f>ADMISSION!B81</f>
        <v>0</v>
      </c>
      <c r="B81" s="228">
        <f>ADMISSION!C81</f>
        <v>0</v>
      </c>
      <c r="C81" s="229">
        <f>ADMISSION!D81</f>
        <v>0</v>
      </c>
      <c r="D81" s="228" t="str">
        <f>ADMISSION!J81</f>
        <v/>
      </c>
      <c r="E81" s="228" t="str">
        <f>ADMISSION!K81</f>
        <v/>
      </c>
      <c r="F81" s="228" t="str">
        <f>ADMISSION!L81</f>
        <v/>
      </c>
      <c r="G81" s="228" t="str">
        <f>ADMISSION!M81</f>
        <v/>
      </c>
      <c r="H81" s="228" t="str">
        <f>ADMISSION!N81</f>
        <v/>
      </c>
      <c r="I81" s="230" t="str">
        <f t="shared" si="1"/>
        <v>send msg</v>
      </c>
    </row>
    <row r="82" spans="1:9" ht="24.75" customHeight="1">
      <c r="A82">
        <f>ADMISSION!B82</f>
        <v>0</v>
      </c>
      <c r="B82" s="228">
        <f>ADMISSION!C82</f>
        <v>0</v>
      </c>
      <c r="C82" s="229">
        <f>ADMISSION!D82</f>
        <v>0</v>
      </c>
      <c r="D82" s="228" t="str">
        <f>ADMISSION!J82</f>
        <v/>
      </c>
      <c r="E82" s="228" t="str">
        <f>ADMISSION!K82</f>
        <v/>
      </c>
      <c r="F82" s="228" t="str">
        <f>ADMISSION!L82</f>
        <v/>
      </c>
      <c r="G82" s="228" t="str">
        <f>ADMISSION!M82</f>
        <v/>
      </c>
      <c r="H82" s="228" t="str">
        <f>ADMISSION!N82</f>
        <v/>
      </c>
      <c r="I82" s="230" t="str">
        <f t="shared" si="1"/>
        <v>send msg</v>
      </c>
    </row>
    <row r="83" spans="1:9" ht="24.75" customHeight="1">
      <c r="A83">
        <f>ADMISSION!B83</f>
        <v>0</v>
      </c>
      <c r="B83" s="228">
        <f>ADMISSION!C83</f>
        <v>0</v>
      </c>
      <c r="C83" s="229">
        <f>ADMISSION!D83</f>
        <v>0</v>
      </c>
      <c r="D83" s="228" t="str">
        <f>ADMISSION!J83</f>
        <v/>
      </c>
      <c r="E83" s="228" t="str">
        <f>ADMISSION!K83</f>
        <v/>
      </c>
      <c r="F83" s="228" t="str">
        <f>ADMISSION!L83</f>
        <v/>
      </c>
      <c r="G83" s="228" t="str">
        <f>ADMISSION!M83</f>
        <v/>
      </c>
      <c r="H83" s="228" t="str">
        <f>ADMISSION!N83</f>
        <v/>
      </c>
      <c r="I83" s="230" t="str">
        <f t="shared" si="1"/>
        <v>send msg</v>
      </c>
    </row>
    <row r="84" spans="1:9" ht="24.75" customHeight="1">
      <c r="A84">
        <f>ADMISSION!B84</f>
        <v>0</v>
      </c>
      <c r="B84" s="228">
        <f>ADMISSION!C84</f>
        <v>0</v>
      </c>
      <c r="C84" s="229">
        <f>ADMISSION!D84</f>
        <v>0</v>
      </c>
      <c r="D84" s="228" t="str">
        <f>ADMISSION!J84</f>
        <v/>
      </c>
      <c r="E84" s="228" t="str">
        <f>ADMISSION!K84</f>
        <v/>
      </c>
      <c r="F84" s="228" t="str">
        <f>ADMISSION!L84</f>
        <v/>
      </c>
      <c r="G84" s="228" t="str">
        <f>ADMISSION!M84</f>
        <v/>
      </c>
      <c r="H84" s="228" t="str">
        <f>ADMISSION!N84</f>
        <v/>
      </c>
      <c r="I84" s="230" t="str">
        <f t="shared" si="1"/>
        <v>send msg</v>
      </c>
    </row>
    <row r="85" spans="1:9" ht="24.75" customHeight="1">
      <c r="A85">
        <f>ADMISSION!B85</f>
        <v>0</v>
      </c>
      <c r="B85" s="228">
        <f>ADMISSION!C85</f>
        <v>0</v>
      </c>
      <c r="C85" s="229">
        <f>ADMISSION!D85</f>
        <v>0</v>
      </c>
      <c r="D85" s="228" t="str">
        <f>ADMISSION!J85</f>
        <v/>
      </c>
      <c r="E85" s="228" t="str">
        <f>ADMISSION!K85</f>
        <v/>
      </c>
      <c r="F85" s="228" t="str">
        <f>ADMISSION!L85</f>
        <v/>
      </c>
      <c r="G85" s="228" t="str">
        <f>ADMISSION!M85</f>
        <v/>
      </c>
      <c r="H85" s="228" t="str">
        <f>ADMISSION!N85</f>
        <v/>
      </c>
      <c r="I85" s="230" t="str">
        <f t="shared" si="1"/>
        <v>send msg</v>
      </c>
    </row>
    <row r="86" spans="1:9" ht="24.75" customHeight="1">
      <c r="A86">
        <f>ADMISSION!B86</f>
        <v>0</v>
      </c>
      <c r="B86" s="228">
        <f>ADMISSION!C86</f>
        <v>0</v>
      </c>
      <c r="C86" s="229">
        <f>ADMISSION!D86</f>
        <v>0</v>
      </c>
      <c r="D86" s="228" t="str">
        <f>ADMISSION!J86</f>
        <v/>
      </c>
      <c r="E86" s="228" t="str">
        <f>ADMISSION!K86</f>
        <v/>
      </c>
      <c r="F86" s="228" t="str">
        <f>ADMISSION!L86</f>
        <v/>
      </c>
      <c r="G86" s="228" t="str">
        <f>ADMISSION!M86</f>
        <v/>
      </c>
      <c r="H86" s="228" t="str">
        <f>ADMISSION!N86</f>
        <v/>
      </c>
      <c r="I86" s="230" t="str">
        <f t="shared" si="1"/>
        <v>send msg</v>
      </c>
    </row>
    <row r="87" spans="1:9" ht="24.75" customHeight="1">
      <c r="A87">
        <f>ADMISSION!B87</f>
        <v>0</v>
      </c>
      <c r="B87" s="228">
        <f>ADMISSION!C87</f>
        <v>0</v>
      </c>
      <c r="C87" s="229">
        <f>ADMISSION!D87</f>
        <v>0</v>
      </c>
      <c r="D87" s="228" t="str">
        <f>ADMISSION!J87</f>
        <v/>
      </c>
      <c r="E87" s="228" t="str">
        <f>ADMISSION!K87</f>
        <v/>
      </c>
      <c r="F87" s="228" t="str">
        <f>ADMISSION!L87</f>
        <v/>
      </c>
      <c r="G87" s="228" t="str">
        <f>ADMISSION!M87</f>
        <v/>
      </c>
      <c r="H87" s="228" t="str">
        <f>ADMISSION!N87</f>
        <v/>
      </c>
      <c r="I87" s="230" t="str">
        <f t="shared" si="1"/>
        <v>send msg</v>
      </c>
    </row>
    <row r="88" spans="1:9" ht="24.75" customHeight="1">
      <c r="A88">
        <f>ADMISSION!B88</f>
        <v>0</v>
      </c>
      <c r="B88" s="228">
        <f>ADMISSION!C88</f>
        <v>0</v>
      </c>
      <c r="C88" s="229">
        <f>ADMISSION!D88</f>
        <v>0</v>
      </c>
      <c r="D88" s="228" t="str">
        <f>ADMISSION!J88</f>
        <v/>
      </c>
      <c r="E88" s="228" t="str">
        <f>ADMISSION!K88</f>
        <v/>
      </c>
      <c r="F88" s="228" t="str">
        <f>ADMISSION!L88</f>
        <v/>
      </c>
      <c r="G88" s="228" t="str">
        <f>ADMISSION!M88</f>
        <v/>
      </c>
      <c r="H88" s="228" t="str">
        <f>ADMISSION!N88</f>
        <v/>
      </c>
      <c r="I88" s="230" t="str">
        <f t="shared" si="1"/>
        <v>send msg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14</vt:i4>
      </vt:variant>
    </vt:vector>
  </HeadingPairs>
  <TitlesOfParts>
    <vt:vector size="24" baseType="lpstr">
      <vt:lpstr>ADMISSION</vt:lpstr>
      <vt:lpstr>FEE ENTRY</vt:lpstr>
      <vt:lpstr>INVOICE</vt:lpstr>
      <vt:lpstr>All</vt:lpstr>
      <vt:lpstr>TOTAL S&amp;FEE </vt:lpstr>
      <vt:lpstr>Class Wise</vt:lpstr>
      <vt:lpstr>%</vt:lpstr>
      <vt:lpstr>Student's Detail</vt:lpstr>
      <vt:lpstr>Expenses</vt:lpstr>
      <vt:lpstr>Massage</vt:lpstr>
      <vt:lpstr>_10th</vt:lpstr>
      <vt:lpstr>_11th</vt:lpstr>
      <vt:lpstr>_12th</vt:lpstr>
      <vt:lpstr>_1st</vt:lpstr>
      <vt:lpstr>_2nd</vt:lpstr>
      <vt:lpstr>_3rd</vt:lpstr>
      <vt:lpstr>_4th</vt:lpstr>
      <vt:lpstr>_5th</vt:lpstr>
      <vt:lpstr>_6th</vt:lpstr>
      <vt:lpstr>_7th</vt:lpstr>
      <vt:lpstr>_8th</vt:lpstr>
      <vt:lpstr>_9th</vt:lpstr>
      <vt:lpstr>kg</vt:lpstr>
      <vt:lpstr>INVOICE!Print_Area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 Khan</dc:creator>
  <cp:keywords/>
  <dc:description/>
  <cp:lastModifiedBy>Ali Khan</cp:lastModifiedBy>
  <cp:lastPrinted>2024-07-19T14:38:26Z</cp:lastPrinted>
  <dcterms:created xsi:type="dcterms:W3CDTF">2024-01-10T09:09:30Z</dcterms:created>
  <dcterms:modified xsi:type="dcterms:W3CDTF">2024-07-26T13:40:37Z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2024-01-10T12:43:09Z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17a642bb-69eb-414d-8a31-178ad24d000c</vt:lpwstr>
  </property>
  <property fmtid="{D5CDD505-2E9C-101B-9397-08002B2CF9AE}" pid="7" name="MSIP_Label_defa4170-0d19-0005-0004-bc88714345d2_ActionId">
    <vt:lpwstr>232bf755-f00f-4cf4-bb83-af03202a0b42</vt:lpwstr>
  </property>
  <property fmtid="{D5CDD505-2E9C-101B-9397-08002B2CF9AE}" pid="8" name="MSIP_Label_defa4170-0d19-0005-0004-bc88714345d2_ContentBits">
    <vt:lpwstr>0</vt:lpwstr>
  </property>
</Properties>
</file>