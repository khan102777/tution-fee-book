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00000000-0000-0000-0000-000000000000}"/>
  <workbookPr codeName="ThisWorkbook"/>
  <mc:AlternateContent xmlns:mc="http://schemas.openxmlformats.org/markup-compatibility/2006">
    <mc:Choice Requires="x15">
      <x15ac:absPath xmlns:x15ac="http://schemas.microsoft.com/office/spreadsheetml/2010/11/ac" url="C:\Users\This Pc\Desktop\"/>
    </mc:Choice>
  </mc:AlternateContent>
  <xr:revisionPtr revIDLastSave="0" documentId="13_ncr:1_{93B23594-5195-415D-B0CD-37818A4B3B4B}" xr6:coauthVersionLast="47" xr6:coauthVersionMax="47" xr10:uidLastSave="{00000000-0000-0000-0000-000000000000}"/>
  <bookViews>
    <workbookView xWindow="-120" yWindow="-120" windowWidth="20730" windowHeight="11160" xr2:uid="{00000000-000D-0000-FFFF-FFFF00000000}"/>
  </bookViews>
  <sheets>
    <sheet name="ADMISSION" sheetId="1" r:id="rId1"/>
    <sheet name="FEE ENTRY" sheetId="2" r:id="rId2"/>
    <sheet name="INVOICE" sheetId="3" r:id="rId3"/>
    <sheet name="Sheet2" sheetId="7" r:id="rId4"/>
  </sheets>
  <definedNames>
    <definedName name="_10th">ADMISSION!$Z$3:$Z$1048576</definedName>
    <definedName name="_11th">ADMISSION!$AA$3:$AA$1048576</definedName>
    <definedName name="_12th">ADMISSION!$AB$3:$AB$1048576</definedName>
    <definedName name="_1st">ADMISSION!$Q$3:$Q$1048576</definedName>
    <definedName name="_2nd">ADMISSION!$R$3:$R$1048576</definedName>
    <definedName name="_3rd">ADMISSION!$S$17:$S$1048576</definedName>
    <definedName name="_4th">ADMISSION!$T$17:$T$1048576</definedName>
    <definedName name="_5th">ADMISSION!$U$17:$U$1048576</definedName>
    <definedName name="_6th">ADMISSION!$V$17:$V$1048576</definedName>
    <definedName name="_7th">ADMISSION!$W$3:$W$1048576</definedName>
    <definedName name="_8th">ADMISSION!$X$3:$X$1048576</definedName>
    <definedName name="_9th">ADMISSION!$Y$3:$Y$1048576</definedName>
    <definedName name="_xlnm._FilterDatabase" localSheetId="0" hidden="1">ADMISSION!$O$1:$O$102</definedName>
    <definedName name="_xlnm._FilterDatabase" localSheetId="1" hidden="1">'FEE ENTRY'!$A$2:$K$202</definedName>
    <definedName name="kg">ADMISSION!$P$3:$P$1048576</definedName>
    <definedName name="_xlnm.Print_Area" localSheetId="2">INVOICE!$A$1:$K$17</definedName>
    <definedName name="Slicer_Claas">#N/A</definedName>
  </definedNames>
  <calcPr calcId="191028"/>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0" i="2" l="1" a="1"/>
  <c r="N30" i="2" s="1"/>
  <c r="J26" i="1"/>
  <c r="M28" i="1"/>
  <c r="M29" i="1"/>
  <c r="M30" i="1"/>
  <c r="M31" i="1"/>
  <c r="M32" i="1"/>
  <c r="M33" i="1"/>
  <c r="M34" i="1"/>
  <c r="M35" i="1"/>
  <c r="M36" i="1"/>
  <c r="M37" i="1"/>
  <c r="M38" i="1"/>
  <c r="N38" i="1" s="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27"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53" i="1"/>
  <c r="I203" i="2"/>
  <c r="I9" i="3"/>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3" i="2"/>
  <c r="J8" i="2"/>
  <c r="J9" i="2"/>
  <c r="J10" i="2"/>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H8" i="2"/>
  <c r="H9" i="2"/>
  <c r="H10" i="2"/>
  <c r="H11" i="2"/>
  <c r="H12" i="2"/>
  <c r="H13" i="2"/>
  <c r="H14" i="2"/>
  <c r="H15" i="2"/>
  <c r="H16" i="2"/>
  <c r="H17"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H56" i="2"/>
  <c r="H57" i="2"/>
  <c r="H58" i="2"/>
  <c r="H59" i="2"/>
  <c r="H60" i="2"/>
  <c r="H61" i="2"/>
  <c r="H62" i="2"/>
  <c r="H63" i="2"/>
  <c r="H64" i="2"/>
  <c r="H65" i="2"/>
  <c r="H66" i="2"/>
  <c r="H67" i="2"/>
  <c r="H68" i="2"/>
  <c r="H69" i="2"/>
  <c r="H70" i="2"/>
  <c r="H71" i="2"/>
  <c r="H72" i="2"/>
  <c r="H73" i="2"/>
  <c r="H74" i="2"/>
  <c r="H75" i="2"/>
  <c r="H76" i="2"/>
  <c r="H77" i="2"/>
  <c r="H78" i="2"/>
  <c r="H79" i="2"/>
  <c r="H80" i="2"/>
  <c r="H81" i="2"/>
  <c r="H82" i="2"/>
  <c r="H83" i="2"/>
  <c r="H84" i="2"/>
  <c r="H85" i="2"/>
  <c r="H86" i="2"/>
  <c r="H87" i="2"/>
  <c r="H88" i="2"/>
  <c r="H89" i="2"/>
  <c r="H90" i="2"/>
  <c r="H91" i="2"/>
  <c r="H92" i="2"/>
  <c r="H93" i="2"/>
  <c r="H94" i="2"/>
  <c r="H95" i="2"/>
  <c r="H96" i="2"/>
  <c r="H97" i="2"/>
  <c r="H98" i="2"/>
  <c r="H99" i="2"/>
  <c r="H100" i="2"/>
  <c r="H101" i="2"/>
  <c r="H102" i="2"/>
  <c r="H103" i="2"/>
  <c r="H104" i="2"/>
  <c r="H105" i="2"/>
  <c r="H106" i="2"/>
  <c r="H107" i="2"/>
  <c r="H108" i="2"/>
  <c r="H109" i="2"/>
  <c r="H110" i="2"/>
  <c r="H111" i="2"/>
  <c r="H112" i="2"/>
  <c r="H113" i="2"/>
  <c r="H114" i="2"/>
  <c r="H115" i="2"/>
  <c r="H116" i="2"/>
  <c r="H117" i="2"/>
  <c r="H118" i="2"/>
  <c r="H119" i="2"/>
  <c r="H120" i="2"/>
  <c r="H121" i="2"/>
  <c r="H122" i="2"/>
  <c r="H123" i="2"/>
  <c r="H124" i="2"/>
  <c r="H125" i="2"/>
  <c r="H126" i="2"/>
  <c r="H127" i="2"/>
  <c r="H128" i="2"/>
  <c r="H129" i="2"/>
  <c r="H130" i="2"/>
  <c r="H131" i="2"/>
  <c r="H132" i="2"/>
  <c r="H133" i="2"/>
  <c r="H134" i="2"/>
  <c r="H135" i="2"/>
  <c r="H136" i="2"/>
  <c r="H137" i="2"/>
  <c r="H138" i="2"/>
  <c r="H139" i="2"/>
  <c r="H140" i="2"/>
  <c r="H141" i="2"/>
  <c r="H142" i="2"/>
  <c r="H143" i="2"/>
  <c r="H144" i="2"/>
  <c r="H145" i="2"/>
  <c r="H146" i="2"/>
  <c r="H147" i="2"/>
  <c r="H148" i="2"/>
  <c r="H149" i="2"/>
  <c r="H150" i="2"/>
  <c r="H151" i="2"/>
  <c r="H152" i="2"/>
  <c r="H153" i="2"/>
  <c r="H154" i="2"/>
  <c r="H155" i="2"/>
  <c r="H156" i="2"/>
  <c r="H157" i="2"/>
  <c r="H158" i="2"/>
  <c r="H159" i="2"/>
  <c r="H160" i="2"/>
  <c r="H161" i="2"/>
  <c r="H162" i="2"/>
  <c r="H163" i="2"/>
  <c r="H164" i="2"/>
  <c r="H165" i="2"/>
  <c r="H166" i="2"/>
  <c r="H167" i="2"/>
  <c r="H168" i="2"/>
  <c r="H169" i="2"/>
  <c r="H170" i="2"/>
  <c r="H171" i="2"/>
  <c r="H172" i="2"/>
  <c r="H173" i="2"/>
  <c r="H174" i="2"/>
  <c r="H175" i="2"/>
  <c r="H176" i="2"/>
  <c r="H177" i="2"/>
  <c r="H178" i="2"/>
  <c r="H179" i="2"/>
  <c r="H180" i="2"/>
  <c r="H181" i="2"/>
  <c r="H182" i="2"/>
  <c r="H183" i="2"/>
  <c r="H184" i="2"/>
  <c r="H185" i="2"/>
  <c r="H186" i="2"/>
  <c r="H187" i="2"/>
  <c r="H188" i="2"/>
  <c r="H189" i="2"/>
  <c r="H190" i="2"/>
  <c r="H191" i="2"/>
  <c r="H192" i="2"/>
  <c r="H193" i="2"/>
  <c r="H194" i="2"/>
  <c r="H195" i="2"/>
  <c r="H196" i="2"/>
  <c r="H197" i="2"/>
  <c r="H198" i="2"/>
  <c r="H199" i="2"/>
  <c r="H200" i="2"/>
  <c r="H201" i="2"/>
  <c r="H202" i="2"/>
  <c r="G8" i="2"/>
  <c r="G9" i="2"/>
  <c r="G10" i="2"/>
  <c r="G11" i="2"/>
  <c r="G12" i="2"/>
  <c r="G13" i="2"/>
  <c r="G14" i="2"/>
  <c r="G15" i="2"/>
  <c r="G16" i="2"/>
  <c r="G17"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F7" i="2"/>
  <c r="F8" i="2"/>
  <c r="F9" i="2"/>
  <c r="F10" i="2"/>
  <c r="F11" i="2"/>
  <c r="F12" i="2"/>
  <c r="F13" i="2"/>
  <c r="F14" i="2"/>
  <c r="F15" i="2"/>
  <c r="F16" i="2"/>
  <c r="F17"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E6" i="2"/>
  <c r="C13" i="3" s="1"/>
  <c r="E7" i="2"/>
  <c r="G7" i="2" s="1"/>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3" i="2"/>
  <c r="D4" i="2"/>
  <c r="D5" i="2"/>
  <c r="D6" i="2"/>
  <c r="D11" i="3" s="1"/>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3" i="2"/>
  <c r="J2" i="1"/>
  <c r="J3" i="1"/>
  <c r="L3" i="1" s="1"/>
  <c r="J4" i="1"/>
  <c r="E4" i="2" s="1"/>
  <c r="J5" i="1"/>
  <c r="L5" i="1" s="1"/>
  <c r="J6" i="1"/>
  <c r="J7" i="1"/>
  <c r="L7" i="1" s="1"/>
  <c r="J8" i="1"/>
  <c r="J9" i="1"/>
  <c r="J10" i="1"/>
  <c r="J11" i="1"/>
  <c r="J12" i="1"/>
  <c r="J13" i="1"/>
  <c r="J14" i="1"/>
  <c r="J15" i="1"/>
  <c r="J16" i="1"/>
  <c r="K16" i="1" s="1"/>
  <c r="L16" i="1" s="1"/>
  <c r="J17" i="1"/>
  <c r="L17" i="1" s="1"/>
  <c r="J18" i="1"/>
  <c r="J19" i="1"/>
  <c r="J20" i="1"/>
  <c r="J21" i="1"/>
  <c r="L21" i="1" s="1"/>
  <c r="J22" i="1"/>
  <c r="J23" i="1"/>
  <c r="L23" i="1" s="1"/>
  <c r="J24" i="1"/>
  <c r="L24" i="1" s="1"/>
  <c r="J25" i="1"/>
  <c r="L25" i="1" s="1"/>
  <c r="J27" i="1"/>
  <c r="J28" i="1"/>
  <c r="J29" i="1"/>
  <c r="L29" i="1" s="1"/>
  <c r="J30" i="1"/>
  <c r="J31" i="1"/>
  <c r="J32" i="1"/>
  <c r="K32" i="1" s="1"/>
  <c r="L32" i="1" s="1"/>
  <c r="J33" i="1"/>
  <c r="L33" i="1" s="1"/>
  <c r="J34" i="1"/>
  <c r="J35" i="1"/>
  <c r="J36" i="1"/>
  <c r="J37" i="1"/>
  <c r="J38" i="1"/>
  <c r="J39" i="1"/>
  <c r="J40" i="1"/>
  <c r="L40" i="1" s="1"/>
  <c r="J41" i="1"/>
  <c r="K41" i="1" s="1"/>
  <c r="J42" i="1"/>
  <c r="E5" i="2" s="1"/>
  <c r="J43" i="1"/>
  <c r="J44" i="1"/>
  <c r="L44" i="1" s="1"/>
  <c r="J45" i="1"/>
  <c r="L45" i="1" s="1"/>
  <c r="J46" i="1"/>
  <c r="J47" i="1"/>
  <c r="J48" i="1"/>
  <c r="L48" i="1" s="1"/>
  <c r="J49" i="1"/>
  <c r="L49" i="1" s="1"/>
  <c r="J50" i="1"/>
  <c r="J51" i="1"/>
  <c r="K51" i="1" s="1"/>
  <c r="L51" i="1" s="1"/>
  <c r="J52" i="1"/>
  <c r="J102" i="1"/>
  <c r="O24" i="1"/>
  <c r="O8" i="1"/>
  <c r="O9" i="1"/>
  <c r="O2" i="1"/>
  <c r="O4" i="1"/>
  <c r="O39" i="1"/>
  <c r="O17" i="1"/>
  <c r="O30" i="1"/>
  <c r="O48" i="1"/>
  <c r="O31" i="1"/>
  <c r="O40" i="1"/>
  <c r="O49" i="1"/>
  <c r="O18" i="1"/>
  <c r="O50" i="1"/>
  <c r="O12" i="1"/>
  <c r="O41" i="1"/>
  <c r="O42" i="1"/>
  <c r="O10" i="1"/>
  <c r="O25" i="1"/>
  <c r="O6" i="1"/>
  <c r="O7" i="1"/>
  <c r="O26" i="1"/>
  <c r="O13" i="1"/>
  <c r="O14" i="1"/>
  <c r="O15" i="1"/>
  <c r="O16" i="1"/>
  <c r="O19" i="1"/>
  <c r="O20" i="1"/>
  <c r="O21" i="1"/>
  <c r="O22" i="1"/>
  <c r="O27" i="1"/>
  <c r="O28" i="1"/>
  <c r="O11" i="1"/>
  <c r="O32" i="1"/>
  <c r="O33" i="1"/>
  <c r="O34" i="1"/>
  <c r="O35" i="1"/>
  <c r="O36" i="1"/>
  <c r="O37" i="1"/>
  <c r="O38" i="1"/>
  <c r="O43" i="1"/>
  <c r="O44" i="1"/>
  <c r="O45" i="1"/>
  <c r="O46" i="1"/>
  <c r="O51" i="1"/>
  <c r="O52" i="1"/>
  <c r="O47" i="1"/>
  <c r="O23" i="1"/>
  <c r="O29" i="1"/>
  <c r="O3"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5" i="1"/>
  <c r="D10" i="3"/>
  <c r="I10" i="3" s="1"/>
  <c r="M5" i="1"/>
  <c r="K24" i="1"/>
  <c r="T3" i="1"/>
  <c r="K8" i="1"/>
  <c r="K4" i="1"/>
  <c r="F4" i="2" s="1"/>
  <c r="K39" i="1"/>
  <c r="K17" i="1"/>
  <c r="K30" i="1"/>
  <c r="K40" i="1"/>
  <c r="K50" i="1"/>
  <c r="K42" i="1"/>
  <c r="L42" i="1" s="1"/>
  <c r="K10" i="1"/>
  <c r="K15" i="1"/>
  <c r="K20" i="1"/>
  <c r="K21" i="1"/>
  <c r="K22" i="1"/>
  <c r="K27" i="1"/>
  <c r="K33" i="1"/>
  <c r="K34" i="1"/>
  <c r="K38" i="1"/>
  <c r="K43" i="1"/>
  <c r="K44" i="1"/>
  <c r="K46" i="1"/>
  <c r="L46" i="1" s="1"/>
  <c r="K23" i="1"/>
  <c r="K29" i="1"/>
  <c r="F14" i="3"/>
  <c r="U15" i="1"/>
  <c r="V15" i="1" s="1"/>
  <c r="U14" i="1"/>
  <c r="U13" i="1"/>
  <c r="U12" i="1"/>
  <c r="U11" i="1"/>
  <c r="V11" i="1" s="1"/>
  <c r="U10" i="1"/>
  <c r="U9" i="1"/>
  <c r="U8" i="1"/>
  <c r="U7" i="1"/>
  <c r="V7" i="1" s="1"/>
  <c r="U6" i="1"/>
  <c r="U5" i="1"/>
  <c r="U4" i="1"/>
  <c r="U3" i="1"/>
  <c r="T15" i="1"/>
  <c r="T14" i="1"/>
  <c r="T13" i="1"/>
  <c r="T12" i="1"/>
  <c r="V12" i="1" s="1"/>
  <c r="T11" i="1"/>
  <c r="T10" i="1"/>
  <c r="V10" i="1" s="1"/>
  <c r="T9" i="1"/>
  <c r="T8" i="1"/>
  <c r="V8" i="1" s="1"/>
  <c r="T7" i="1"/>
  <c r="T6" i="1"/>
  <c r="T5" i="1"/>
  <c r="U16" i="1"/>
  <c r="V14" i="1"/>
  <c r="M4" i="1"/>
  <c r="T4" i="1"/>
  <c r="V4" i="1" s="1"/>
  <c r="K48" i="1"/>
  <c r="K9" i="1"/>
  <c r="K2" i="1"/>
  <c r="K31" i="1"/>
  <c r="K49" i="1"/>
  <c r="K18" i="1"/>
  <c r="K25" i="1"/>
  <c r="K6" i="1"/>
  <c r="K7" i="1"/>
  <c r="K14" i="1"/>
  <c r="K19" i="1"/>
  <c r="K28" i="1"/>
  <c r="K11" i="1"/>
  <c r="L11" i="1" s="1"/>
  <c r="K35" i="1"/>
  <c r="K36" i="1"/>
  <c r="K45" i="1"/>
  <c r="K47" i="1"/>
  <c r="K3" i="1"/>
  <c r="K5" i="1"/>
  <c r="Q30" i="2" a="1"/>
  <c r="Q30" i="2" s="1"/>
  <c r="M3" i="1"/>
  <c r="M23" i="1"/>
  <c r="L47" i="1"/>
  <c r="L43" i="1"/>
  <c r="L38" i="1"/>
  <c r="L36" i="1"/>
  <c r="L35" i="1"/>
  <c r="L34" i="1"/>
  <c r="M11" i="1"/>
  <c r="L28" i="1"/>
  <c r="L27" i="1"/>
  <c r="M22" i="1"/>
  <c r="L22" i="1"/>
  <c r="M21" i="1"/>
  <c r="M20" i="1"/>
  <c r="L20" i="1"/>
  <c r="M19" i="1"/>
  <c r="L19" i="1"/>
  <c r="M16" i="1"/>
  <c r="M15" i="1"/>
  <c r="L15" i="1"/>
  <c r="M14" i="1"/>
  <c r="L14" i="1"/>
  <c r="M13" i="1"/>
  <c r="M26" i="1"/>
  <c r="M7" i="1"/>
  <c r="M6" i="1"/>
  <c r="L6" i="1"/>
  <c r="M25" i="1"/>
  <c r="M10" i="1"/>
  <c r="L10" i="1"/>
  <c r="M12" i="1"/>
  <c r="L50" i="1"/>
  <c r="M18" i="1"/>
  <c r="N18" i="1" s="1"/>
  <c r="L18" i="1"/>
  <c r="L31" i="1"/>
  <c r="L30" i="1"/>
  <c r="M17" i="1"/>
  <c r="L39" i="1"/>
  <c r="L4" i="1"/>
  <c r="M2" i="1"/>
  <c r="L2" i="1"/>
  <c r="M9" i="1"/>
  <c r="L9" i="1"/>
  <c r="M8" i="1"/>
  <c r="M24" i="1"/>
  <c r="K26" i="1"/>
  <c r="L26" i="1" s="1"/>
  <c r="F15" i="3"/>
  <c r="L8" i="1"/>
  <c r="G4" i="2" l="1"/>
  <c r="H4" i="2" s="1"/>
  <c r="F18" i="2"/>
  <c r="G18" i="2" s="1"/>
  <c r="N17" i="1"/>
  <c r="N48" i="1"/>
  <c r="N40" i="1"/>
  <c r="N42" i="1"/>
  <c r="N25" i="1"/>
  <c r="N7" i="1"/>
  <c r="N44" i="1"/>
  <c r="N46" i="1"/>
  <c r="N23" i="1"/>
  <c r="N3" i="1"/>
  <c r="F3" i="2"/>
  <c r="G3" i="2" s="1"/>
  <c r="K37" i="1"/>
  <c r="L37" i="1" s="1"/>
  <c r="N37" i="1" s="1"/>
  <c r="N9" i="1"/>
  <c r="L41" i="1"/>
  <c r="N26" i="1"/>
  <c r="N14" i="1"/>
  <c r="N16" i="1"/>
  <c r="N20" i="1"/>
  <c r="N22" i="1"/>
  <c r="N28" i="1"/>
  <c r="N32" i="1"/>
  <c r="N34" i="1"/>
  <c r="N36" i="1"/>
  <c r="K12" i="1"/>
  <c r="L12" i="1" s="1"/>
  <c r="F5" i="2"/>
  <c r="G5" i="2" s="1"/>
  <c r="K13" i="1"/>
  <c r="L13" i="1" s="1"/>
  <c r="N13" i="1" s="1"/>
  <c r="F6" i="2"/>
  <c r="C14" i="3" s="1"/>
  <c r="N24" i="1"/>
  <c r="N39" i="1"/>
  <c r="N30" i="1"/>
  <c r="N31" i="1"/>
  <c r="N49" i="1"/>
  <c r="N50" i="1"/>
  <c r="N41" i="1"/>
  <c r="N10" i="1"/>
  <c r="N6" i="1"/>
  <c r="N43" i="1"/>
  <c r="N45" i="1"/>
  <c r="N51" i="1"/>
  <c r="N47" i="1"/>
  <c r="N29" i="1"/>
  <c r="K52" i="1"/>
  <c r="L52" i="1" s="1"/>
  <c r="N52" i="1" s="1"/>
  <c r="N4" i="1"/>
  <c r="N5" i="1"/>
  <c r="N8" i="1"/>
  <c r="N2" i="1"/>
  <c r="N15" i="1"/>
  <c r="N19" i="1"/>
  <c r="N21" i="1"/>
  <c r="N27" i="1"/>
  <c r="N11" i="1"/>
  <c r="N33" i="1"/>
  <c r="N35" i="1"/>
  <c r="V6" i="1"/>
  <c r="T16" i="1"/>
  <c r="V16" i="1" s="1"/>
  <c r="V5" i="1"/>
  <c r="V9" i="1"/>
  <c r="V13" i="1"/>
  <c r="V3" i="1"/>
  <c r="J7" i="2"/>
  <c r="H7" i="2"/>
  <c r="M102" i="1"/>
  <c r="J4" i="2" l="1"/>
  <c r="G6" i="2"/>
  <c r="C15" i="3" s="1"/>
  <c r="J3" i="2"/>
  <c r="H3" i="2"/>
  <c r="H18" i="2"/>
  <c r="J18" i="2"/>
  <c r="N12" i="1"/>
  <c r="L102" i="1"/>
  <c r="J5" i="2"/>
  <c r="H5" i="2"/>
  <c r="N102" i="1"/>
  <c r="K102" i="1"/>
  <c r="H6" i="2" l="1"/>
  <c r="F13" i="3" s="1"/>
  <c r="J6" i="2"/>
  <c r="F16" i="3"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<sst xmlns="http://schemas.openxmlformats.org/spreadsheetml/2006/main" count="349" uniqueCount="163">
  <si>
    <t>jaanmohammad khan</t>
  </si>
  <si>
    <t>S.R no</t>
  </si>
  <si>
    <t>claas</t>
  </si>
  <si>
    <t>1st</t>
  </si>
  <si>
    <t>2nd</t>
  </si>
  <si>
    <t>8th</t>
  </si>
  <si>
    <t>5th</t>
  </si>
  <si>
    <t>pay fee</t>
  </si>
  <si>
    <t>date</t>
  </si>
  <si>
    <t>total deposit</t>
  </si>
  <si>
    <t>old remaining fee</t>
  </si>
  <si>
    <t>deposit</t>
  </si>
  <si>
    <t>now remaining</t>
  </si>
  <si>
    <t>total fee</t>
  </si>
  <si>
    <t>discount</t>
  </si>
  <si>
    <t>6th</t>
  </si>
  <si>
    <t>3rd</t>
  </si>
  <si>
    <t>10th</t>
  </si>
  <si>
    <t>4th</t>
  </si>
  <si>
    <t>7th</t>
  </si>
  <si>
    <t>9th</t>
  </si>
  <si>
    <t>11th</t>
  </si>
  <si>
    <t>12th</t>
  </si>
  <si>
    <t>Date :</t>
  </si>
  <si>
    <t>Student Name:</t>
  </si>
  <si>
    <t>Class:</t>
  </si>
  <si>
    <t>Fee</t>
  </si>
  <si>
    <t>Pay Fee</t>
  </si>
  <si>
    <t>Total</t>
  </si>
  <si>
    <t>stu. Name</t>
  </si>
  <si>
    <t>Invoice NO.</t>
  </si>
  <si>
    <t>Gendar</t>
  </si>
  <si>
    <t>Mobile no</t>
  </si>
  <si>
    <t>Address</t>
  </si>
  <si>
    <t>Old Remainig</t>
  </si>
  <si>
    <t>Now Remaining</t>
  </si>
  <si>
    <t>Deposit</t>
  </si>
  <si>
    <t>Total Deposit</t>
  </si>
  <si>
    <t>Discount</t>
  </si>
  <si>
    <t>Std: 11-12 (Commerce &amp; Science)</t>
  </si>
  <si>
    <t>Std: 1 to 10 (All Subject)</t>
  </si>
  <si>
    <t>KNowledge Point Tution Class</t>
  </si>
  <si>
    <t>Mo. 99984 77778</t>
  </si>
  <si>
    <t>7/877 - 878, Near dargah, Noori Mohalla, Rampura, Surat.</t>
  </si>
  <si>
    <t>Mobile NO.</t>
  </si>
  <si>
    <t>KNowledge Point</t>
  </si>
  <si>
    <t>Row Labels</t>
  </si>
  <si>
    <t>Grand Total</t>
  </si>
  <si>
    <t>Totale Remaining</t>
  </si>
  <si>
    <t>Payable FEE</t>
  </si>
  <si>
    <t>Class</t>
  </si>
  <si>
    <t>Sr. No.</t>
  </si>
  <si>
    <t>Total Fee</t>
  </si>
  <si>
    <t>Date</t>
  </si>
  <si>
    <t>School's Name</t>
  </si>
  <si>
    <t>Previous Result</t>
  </si>
  <si>
    <t>Student's Name</t>
  </si>
  <si>
    <t>Annual Fee</t>
  </si>
  <si>
    <t>K.G.</t>
  </si>
  <si>
    <t>Claas</t>
  </si>
  <si>
    <t>Payable Fee</t>
  </si>
  <si>
    <t>Old Remaining Fee</t>
  </si>
  <si>
    <t>Ayan Gaffarbhai Selot</t>
  </si>
  <si>
    <t>Boy</t>
  </si>
  <si>
    <t>M.A. Meer</t>
  </si>
  <si>
    <t>Nafiskhan Iqbalkhan Pathan</t>
  </si>
  <si>
    <t>Hodi Bangla</t>
  </si>
  <si>
    <t>Parvez Aspak Mandaviya</t>
  </si>
  <si>
    <t>Al Karam Appt.</t>
  </si>
  <si>
    <t>Ajaz Umarji Appt.</t>
  </si>
  <si>
    <t>7/821, Noori Mohalla</t>
  </si>
  <si>
    <t>Aaysha Banu Mo. Kamil Shaikh</t>
  </si>
  <si>
    <t>Girl</t>
  </si>
  <si>
    <t>Bag E Mohammad Appt.</t>
  </si>
  <si>
    <t>Mo.Abdan Shakil Mansuri</t>
  </si>
  <si>
    <t>Mo.Ali Jafar Shaikh</t>
  </si>
  <si>
    <t>146, Nasir Nagar</t>
  </si>
  <si>
    <t>Anglo</t>
  </si>
  <si>
    <t>Mo.Shakib Afzal Hussain Pathan</t>
  </si>
  <si>
    <t>7/1125, Al Rauf Manzil</t>
  </si>
  <si>
    <t>Mo.Sahezan Yusufbhai Kureshi</t>
  </si>
  <si>
    <t>T.&amp;T.V.</t>
  </si>
  <si>
    <t>Farhan Akhtar Yusufbhai Kureshi</t>
  </si>
  <si>
    <t>Nuresaba Javidgulam Shaikh</t>
  </si>
  <si>
    <t>402, Kazi Appt. Petrol Pump</t>
  </si>
  <si>
    <t>Ambaba</t>
  </si>
  <si>
    <t>Aaisha Begam Aabidali Saiyed</t>
  </si>
  <si>
    <t>204,Asma Manzil, Lokhat</t>
  </si>
  <si>
    <t>Munavvar Mujaffar Shaikh</t>
  </si>
  <si>
    <t>7/1687,Kalaigar Wad,Tunki</t>
  </si>
  <si>
    <t>Zarminbanu Abdul Zahir Battiwala</t>
  </si>
  <si>
    <t>7/877-878,Noori Mohalla</t>
  </si>
  <si>
    <t>Maliha Banu Mo.Juned Fanibandha</t>
  </si>
  <si>
    <t>Noori Mohalla</t>
  </si>
  <si>
    <t>Mohammad Irfan Abduljalil Kharadi</t>
  </si>
  <si>
    <t>7/4440,Kharadi Sheri</t>
  </si>
  <si>
    <t>Mariyam Banu Mo.Juned Fanibandha</t>
  </si>
  <si>
    <t>Ayasha Azhruddin Shaikh</t>
  </si>
  <si>
    <t>893/3,Noori Mohalla</t>
  </si>
  <si>
    <t>Bai P.M. Patel</t>
  </si>
  <si>
    <t>Mo.Ali Altafbhai Motiyani</t>
  </si>
  <si>
    <t>518, Makka Palace</t>
  </si>
  <si>
    <t>V.T. Choksi</t>
  </si>
  <si>
    <t>Arpit Rajkumar Morya</t>
  </si>
  <si>
    <t>7/1130,MohammadRaza Manzil</t>
  </si>
  <si>
    <t>Nagar Prathmik</t>
  </si>
  <si>
    <t>Ankita Rajkumar Morya</t>
  </si>
  <si>
    <t>Komal Vijaybhai Bhavekar</t>
  </si>
  <si>
    <t>7/973,Kajipura</t>
  </si>
  <si>
    <t>Mahidharpura Arban</t>
  </si>
  <si>
    <t>Jainab Mo.Kamil Shaikh</t>
  </si>
  <si>
    <t>Firdos Banu Abdul Naim Shaikh</t>
  </si>
  <si>
    <t>148,Nasir Nagar</t>
  </si>
  <si>
    <t>Fatemabanu Yunus Shaikh</t>
  </si>
  <si>
    <t>Farzin Complex, Dudhara Sheri</t>
  </si>
  <si>
    <t>Mohammad Aarif</t>
  </si>
  <si>
    <t>Heena Vijaybhai Bhavekar</t>
  </si>
  <si>
    <t>Mo.Umar Jafar Shaikh</t>
  </si>
  <si>
    <t>Saima Mujehit Shiekh</t>
  </si>
  <si>
    <t>Embassy Hotel,Lal Darwaja</t>
  </si>
  <si>
    <t>Kinjal Vujaybhai Bhavekar</t>
  </si>
  <si>
    <t>Hamza Mo.Aasif Panagar</t>
  </si>
  <si>
    <t>104,Variyava</t>
  </si>
  <si>
    <t>Jar Ardeshar Chinivala</t>
  </si>
  <si>
    <t>Mo.Aman Shehnaz Banu</t>
  </si>
  <si>
    <t>101,Variyava</t>
  </si>
  <si>
    <t>Ankit Sanmukhbhai Solanki</t>
  </si>
  <si>
    <t>7/1133, Kankarya Mohalla</t>
  </si>
  <si>
    <t>Mohammed Fahad Mo.Iqbal Pittalwala</t>
  </si>
  <si>
    <t>7/2288-89,Noori Mohalla</t>
  </si>
  <si>
    <t>Mujaddid Alfesani</t>
  </si>
  <si>
    <t>Madina Faruk Khan</t>
  </si>
  <si>
    <t>Nasir Nagar</t>
  </si>
  <si>
    <t>Fayeza Banu Naim Shaikh</t>
  </si>
  <si>
    <t>Tanishka Vijaybhai Bhavekar</t>
  </si>
  <si>
    <t>Aatig Aiyub Choksi</t>
  </si>
  <si>
    <t>Ajmeri Park Savera Appt.</t>
  </si>
  <si>
    <t>Husen Yunus Shaikh</t>
  </si>
  <si>
    <t>Juvariyyah Ilyas Patel</t>
  </si>
  <si>
    <t>201, Gujarat Mension</t>
  </si>
  <si>
    <t>Ilshabanu Yusuf Ahmad Khan</t>
  </si>
  <si>
    <t>Pastagiya Sheri</t>
  </si>
  <si>
    <t>Mahenoor Raufbhai Dhariwala</t>
  </si>
  <si>
    <t>303,Sohel Palace</t>
  </si>
  <si>
    <t>Prince Sanjaybhai Subedar</t>
  </si>
  <si>
    <t>Miyanjini Wadi</t>
  </si>
  <si>
    <t>P.A. Bhagat</t>
  </si>
  <si>
    <t>Abdullah Mohamadaasif Panagar</t>
  </si>
  <si>
    <t>N.M. Zaveri Union</t>
  </si>
  <si>
    <t>Ubedullah Mohamadaasif Panagar</t>
  </si>
  <si>
    <t>Arfin Imranbhai Padarshi</t>
  </si>
  <si>
    <t>3,Yash Complex,Petrol Pump</t>
  </si>
  <si>
    <t>Arman Mujehit Shaikh</t>
  </si>
  <si>
    <t>Mashira Mo.Juned Fanibandha</t>
  </si>
  <si>
    <t>Zaynab Ilyas Patel</t>
  </si>
  <si>
    <t>Mariya Mo.Juned Fanibandha</t>
  </si>
  <si>
    <t>Shahid Zuber Shaikh</t>
  </si>
  <si>
    <t>Adnan Zuber Shaikh</t>
  </si>
  <si>
    <t>Humera Zuber Shaikh</t>
  </si>
  <si>
    <t>#N/A</t>
  </si>
  <si>
    <t>Sum of Deposit</t>
  </si>
  <si>
    <t>Min of Now Remaining</t>
  </si>
  <si>
    <t>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</si>
</sst>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7" x14ac:knownFonts="1">
    <font>
      <sz val="11"/>
      <color theme="1"/>
      <name val="Aptos Narrow"/>
      <family val="2"/>
      <scheme val="minor"/>
    </font>
    <font>
      <b/>
      <sz val="11"/>
      <color theme="1"/>
      <name val="Aptos Narrow"/>
      <family val="2"/>
      <scheme val="minor"/>
    </font>
    <font>
      <sz val="12"/>
      <color theme="1"/>
      <name val="Aptos Narrow"/>
      <family val="2"/>
      <scheme val="minor"/>
    </font>
    <font>
      <sz val="36"/>
      <color theme="9" tint="-0.24994659260841701"/>
      <name val="Aptos Narrow"/>
      <family val="2"/>
      <scheme val="minor"/>
    </font>
    <font>
      <sz val="20"/>
      <color theme="9" tint="-0.24994659260841701"/>
      <name val="Aptos Narrow"/>
      <family val="2"/>
      <scheme val="minor"/>
    </font>
    <font>
      <sz val="10"/>
      <color theme="1"/>
      <name val="Aptos Narrow"/>
      <family val="2"/>
      <scheme val="minor"/>
    </font>
    <font>
      <sz val="9"/>
      <color theme="1"/>
      <name val="Aptos Narrow"/>
      <family val="2"/>
      <scheme val="minor"/>
    </font>
    <font>
      <sz val="28"/>
      <color theme="9" tint="-0.24994659260841701"/>
      <name val="Aptos Narrow"/>
      <family val="2"/>
      <scheme val="minor"/>
    </font>
    <font>
      <sz val="8"/>
      <name val="Aptos Narrow"/>
      <family val="2"/>
      <scheme val="minor"/>
    </font>
    <font>
      <sz val="14"/>
      <color theme="1"/>
      <name val="Aptos Narrow"/>
      <family val="2"/>
      <scheme val="minor"/>
    </font>
    <font>
      <b/>
      <sz val="28"/>
      <color theme="9" tint="-0.24994659260841701"/>
      <name val="Microsoft New Tai Lue"/>
      <family val="2"/>
    </font>
    <font>
      <sz val="16"/>
      <color theme="1"/>
      <name val="Aptos Narrow"/>
      <family val="2"/>
      <scheme val="minor"/>
    </font>
    <font>
      <b/>
      <sz val="16"/>
      <color theme="1"/>
      <name val="Aptos Narrow"/>
      <family val="2"/>
      <scheme val="minor"/>
    </font>
    <font>
      <b/>
      <sz val="18"/>
      <color theme="1"/>
      <name val="Aptos Narrow"/>
      <family val="2"/>
      <scheme val="minor"/>
    </font>
    <font>
      <sz val="18"/>
      <color theme="1"/>
      <name val="Aptos Narrow"/>
      <family val="2"/>
      <scheme val="minor"/>
    </font>
    <font>
      <sz val="24"/>
      <name val="Aptos Narrow"/>
      <family val="2"/>
      <scheme val="minor"/>
    </font>
    <font>
      <sz val="20"/>
      <color theme="1"/>
      <name val="Aptos Narrow"/>
      <family val="2"/>
      <scheme val="minor"/>
    </font>
    <font>
      <b/>
      <sz val="40"/>
      <color theme="9" tint="-0.24994659260841701"/>
      <name val="Times New Roman"/>
      <family val="1"/>
    </font>
    <font>
      <sz val="11"/>
      <color theme="1"/>
      <name val="Times New Roman"/>
      <family val="1"/>
    </font>
    <font>
      <sz val="14"/>
      <color theme="1"/>
      <name val="Times New Roman"/>
      <family val="1"/>
    </font>
    <font>
      <b/>
      <sz val="14"/>
      <color theme="1"/>
      <name val="Times New Roman"/>
      <family val="1"/>
    </font>
    <font>
      <b/>
      <sz val="12"/>
      <color theme="1"/>
      <name val="Times New Roman"/>
      <family val="1"/>
    </font>
    <font>
      <sz val="11"/>
      <color theme="1"/>
      <name val="Calibri"/>
      <family val="2"/>
    </font>
    <font>
      <b/>
      <sz val="11"/>
      <color theme="1"/>
      <name val="Calibri"/>
      <family val="2"/>
    </font>
    <font>
      <sz val="12"/>
      <color theme="1"/>
      <name val="Calibri"/>
      <family val="2"/>
    </font>
    <font>
      <sz val="14"/>
      <color theme="1"/>
      <name val="Calibri"/>
      <family val="2"/>
    </font>
    <font>
      <b/>
      <sz val="14"/>
      <color theme="1"/>
      <name val="Calibri"/>
      <family val="2"/>
    </font>
  </fonts>
  <fills count="6">
    <fill>
      <patternFill patternType="none"/>
    </fill>
    <fill>
      <patternFill patternType="gray125"/>
    </fill>
    <fill>
      <patternFill patternType="solid">
        <fgColor theme="9" tint="0.59996337778862885"/>
        <bgColor indexed="64"/>
      </patternFill>
    </fill>
    <fill>
      <patternFill patternType="solid">
        <fgColor theme="9" tint="0.39997558519241921"/>
        <bgColor indexed="64"/>
      </patternFill>
    </fill>
    <fill>
      <patternFill patternType="solid">
        <fgColor theme="8" tint="0.59996337778862885"/>
        <bgColor indexed="64"/>
      </patternFill>
    </fill>
    <fill>
      <patternFill patternType="solid">
        <fgColor theme="9" tint="0.59999389629810485"/>
        <bgColor indexed="64"/>
      </patternFill>
    </fill>
  </fills>
  <borders count="40">
    <border>
      <left/>
      <right/>
      <top/>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style="medium">
        <color auto="1"/>
      </left>
      <right style="medium">
        <color auto="1"/>
      </right>
      <top style="medium">
        <color auto="1"/>
      </top>
      <bottom style="medium">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diagonal/>
    </border>
    <border>
      <left/>
      <right/>
      <top style="medium">
        <color indexed="64"/>
      </top>
      <bottom/>
      <diagonal/>
    </border>
    <border>
      <left style="medium">
        <color auto="1"/>
      </left>
      <right/>
      <top style="medium">
        <color auto="1"/>
      </top>
      <bottom style="double">
        <color indexed="64"/>
      </bottom>
      <diagonal/>
    </border>
    <border>
      <left/>
      <right/>
      <top style="medium">
        <color auto="1"/>
      </top>
      <bottom style="double">
        <color indexed="64"/>
      </bottom>
      <diagonal/>
    </border>
    <border>
      <left/>
      <right style="medium">
        <color auto="1"/>
      </right>
      <top style="medium">
        <color auto="1"/>
      </top>
      <bottom style="double">
        <color indexed="64"/>
      </bottom>
      <diagonal/>
    </border>
    <border>
      <left/>
      <right style="medium">
        <color auto="1"/>
      </right>
      <top/>
      <bottom style="double">
        <color indexed="64"/>
      </bottom>
      <diagonal/>
    </border>
    <border>
      <left/>
      <right/>
      <top/>
      <bottom style="double">
        <color indexed="64"/>
      </bottom>
      <diagonal/>
    </border>
    <border>
      <left/>
      <right/>
      <top style="double">
        <color indexed="64"/>
      </top>
      <bottom style="medium">
        <color auto="1"/>
      </bottom>
      <diagonal/>
    </border>
    <border>
      <left/>
      <right style="medium">
        <color auto="1"/>
      </right>
      <top style="double">
        <color indexed="64"/>
      </top>
      <bottom style="medium">
        <color auto="1"/>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medium">
        <color indexed="64"/>
      </left>
      <right style="thin">
        <color auto="1"/>
      </right>
      <top/>
      <bottom style="thin">
        <color auto="1"/>
      </bottom>
      <diagonal/>
    </border>
    <border>
      <left style="thin">
        <color auto="1"/>
      </left>
      <right style="medium">
        <color indexed="64"/>
      </right>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73">
    <xf numFmtId="0" fontId="0" fillId="0" borderId="0" xfId="0"/>
    <xf numFmtId="164" fontId="0" fillId="0" borderId="0" xfId="0" applyNumberFormat="1"/>
    <xf numFmtId="2" fontId="0" fillId="0" borderId="0" xfId="0" applyNumberFormat="1"/>
    <xf numFmtId="2" fontId="0" fillId="0" borderId="0" xfId="0" applyNumberFormat="1" applyAlignment="1">
      <alignment horizontal="center" vertical="center"/>
    </xf>
    <xf numFmtId="0" fontId="0" fillId="0" borderId="4" xfId="0" applyBorder="1"/>
    <xf numFmtId="0" fontId="0" fillId="0" borderId="5" xfId="0" applyBorder="1"/>
    <xf numFmtId="0" fontId="0" fillId="0" borderId="7" xfId="0" applyBorder="1"/>
    <xf numFmtId="2" fontId="0" fillId="0" borderId="9" xfId="0" applyNumberFormat="1" applyBorder="1"/>
    <xf numFmtId="0" fontId="0" fillId="3" borderId="0" xfId="0" applyFill="1"/>
    <xf numFmtId="2" fontId="0" fillId="3" borderId="0" xfId="0" applyNumberFormat="1" applyFill="1"/>
    <xf numFmtId="0" fontId="0" fillId="4" borderId="0" xfId="0" applyFill="1"/>
    <xf numFmtId="164" fontId="0" fillId="3" borderId="0" xfId="0" applyNumberFormat="1" applyFill="1"/>
    <xf numFmtId="0" fontId="0" fillId="0" borderId="0" xfId="0" applyAlignment="1">
      <alignment vertical="top"/>
    </xf>
    <xf numFmtId="0" fontId="2" fillId="0" borderId="0" xfId="0" applyFont="1" applyAlignment="1">
      <alignment vertical="center" wrapText="1"/>
    </xf>
    <xf numFmtId="0" fontId="6" fillId="0" borderId="0" xfId="0" applyFont="1"/>
    <xf numFmtId="0" fontId="7" fillId="0" borderId="0" xfId="0" applyFont="1" applyAlignment="1">
      <alignment vertical="center" wrapText="1"/>
    </xf>
    <xf numFmtId="0" fontId="4" fillId="0" borderId="0" xfId="0" applyFont="1" applyAlignment="1">
      <alignment vertical="top"/>
    </xf>
    <xf numFmtId="14" fontId="0" fillId="0" borderId="0" xfId="0" applyNumberFormat="1" applyAlignment="1">
      <alignment vertical="top"/>
    </xf>
    <xf numFmtId="14" fontId="0" fillId="0" borderId="0" xfId="0" applyNumberFormat="1" applyProtection="1">
      <protection locked="0"/>
    </xf>
    <xf numFmtId="0" fontId="0" fillId="0" borderId="0" xfId="0" applyProtection="1">
      <protection locked="0"/>
    </xf>
    <xf numFmtId="14" fontId="0" fillId="0" borderId="7" xfId="0" applyNumberFormat="1" applyBorder="1" applyProtection="1">
      <protection locked="0"/>
    </xf>
    <xf numFmtId="0" fontId="0" fillId="0" borderId="7" xfId="0" applyBorder="1" applyProtection="1">
      <protection locked="0"/>
    </xf>
    <xf numFmtId="0" fontId="9" fillId="0" borderId="0" xfId="0" applyFont="1" applyAlignment="1">
      <alignment horizontal="center" vertical="center"/>
    </xf>
    <xf numFmtId="0" fontId="11" fillId="0" borderId="0" xfId="0" applyFont="1" applyAlignment="1">
      <alignment horizontal="center" vertical="center"/>
    </xf>
    <xf numFmtId="14" fontId="12" fillId="0" borderId="0" xfId="0" applyNumberFormat="1" applyFont="1" applyAlignment="1">
      <alignment vertical="center"/>
    </xf>
    <xf numFmtId="0" fontId="11" fillId="0" borderId="0" xfId="0" applyFont="1"/>
    <xf numFmtId="0" fontId="13" fillId="0" borderId="0" xfId="0" applyFont="1" applyAlignment="1">
      <alignment vertical="center"/>
    </xf>
    <xf numFmtId="0" fontId="12" fillId="0" borderId="0" xfId="0" applyFont="1" applyAlignment="1" applyProtection="1">
      <alignment vertical="center"/>
      <protection locked="0"/>
    </xf>
    <xf numFmtId="0" fontId="11" fillId="0" borderId="0" xfId="0" applyFont="1" applyAlignment="1">
      <alignment vertical="center"/>
    </xf>
    <xf numFmtId="0" fontId="12" fillId="0" borderId="0" xfId="0" applyFont="1" applyAlignment="1">
      <alignment vertical="center"/>
    </xf>
    <xf numFmtId="0" fontId="9" fillId="0" borderId="4" xfId="0" applyFont="1" applyBorder="1" applyAlignment="1">
      <alignment horizontal="center" vertical="center"/>
    </xf>
    <xf numFmtId="14" fontId="12" fillId="0" borderId="5" xfId="0" applyNumberFormat="1" applyFont="1" applyBorder="1" applyAlignment="1">
      <alignment vertical="center"/>
    </xf>
    <xf numFmtId="0" fontId="0" fillId="0" borderId="28" xfId="0" applyBorder="1"/>
    <xf numFmtId="0" fontId="0" fillId="0" borderId="27" xfId="0" applyBorder="1"/>
    <xf numFmtId="0" fontId="12" fillId="0" borderId="0" xfId="0" applyFont="1" applyAlignment="1">
      <alignment horizontal="left" vertical="center"/>
    </xf>
    <xf numFmtId="0" fontId="11" fillId="0" borderId="5" xfId="0" applyFont="1" applyBorder="1" applyAlignment="1">
      <alignment horizontal="center" vertical="center"/>
    </xf>
    <xf numFmtId="0" fontId="0" fillId="0" borderId="0" xfId="0" pivotButton="1"/>
    <xf numFmtId="0" fontId="0" fillId="0" borderId="0" xfId="0" applyAlignment="1">
      <alignment horizontal="left"/>
    </xf>
    <xf numFmtId="0" fontId="19" fillId="2" borderId="31" xfId="0" applyFont="1" applyFill="1" applyBorder="1" applyAlignment="1" applyProtection="1">
      <alignment horizontal="center" vertical="center"/>
      <protection locked="0"/>
    </xf>
    <xf numFmtId="0" fontId="20" fillId="2" borderId="31" xfId="0" applyFont="1" applyFill="1" applyBorder="1" applyAlignment="1" applyProtection="1">
      <alignment horizontal="center" vertical="center"/>
      <protection locked="0"/>
    </xf>
    <xf numFmtId="0" fontId="18" fillId="2" borderId="12" xfId="0" applyFont="1" applyFill="1" applyBorder="1" applyAlignment="1">
      <alignment horizontal="center" vertical="center"/>
    </xf>
    <xf numFmtId="2" fontId="18" fillId="2" borderId="12" xfId="0" applyNumberFormat="1" applyFont="1" applyFill="1" applyBorder="1" applyAlignment="1">
      <alignment horizontal="center" vertical="center"/>
    </xf>
    <xf numFmtId="0" fontId="18" fillId="2" borderId="12" xfId="0" applyFont="1" applyFill="1" applyBorder="1" applyAlignment="1" applyProtection="1">
      <alignment horizontal="center" vertical="center"/>
      <protection locked="0"/>
    </xf>
    <xf numFmtId="0" fontId="18" fillId="2" borderId="13" xfId="0" applyFont="1" applyFill="1" applyBorder="1" applyAlignment="1">
      <alignment horizontal="center" vertical="center"/>
    </xf>
    <xf numFmtId="0" fontId="18" fillId="0" borderId="0" xfId="0" applyFont="1"/>
    <xf numFmtId="0" fontId="18" fillId="0" borderId="2" xfId="0" applyFont="1" applyBorder="1" applyAlignment="1" applyProtection="1">
      <alignment horizontal="center" vertical="center"/>
      <protection locked="0"/>
    </xf>
    <xf numFmtId="0" fontId="18" fillId="0" borderId="9" xfId="0" applyFont="1" applyBorder="1" applyAlignment="1" applyProtection="1">
      <alignment horizontal="center" vertical="center"/>
      <protection locked="0"/>
    </xf>
    <xf numFmtId="49" fontId="18" fillId="0" borderId="9" xfId="0" applyNumberFormat="1" applyFont="1" applyBorder="1" applyAlignment="1" applyProtection="1">
      <alignment horizontal="left" vertical="top"/>
      <protection locked="0"/>
    </xf>
    <xf numFmtId="0" fontId="18" fillId="0" borderId="9" xfId="0" applyFont="1" applyBorder="1" applyAlignment="1" applyProtection="1">
      <alignment horizontal="center" vertical="top"/>
      <protection locked="0"/>
    </xf>
    <xf numFmtId="49" fontId="18" fillId="0" borderId="9" xfId="0" applyNumberFormat="1" applyFont="1" applyBorder="1" applyAlignment="1" applyProtection="1">
      <alignment horizontal="center" vertical="top"/>
      <protection locked="0"/>
    </xf>
    <xf numFmtId="14" fontId="18" fillId="0" borderId="9" xfId="0" applyNumberFormat="1" applyFont="1" applyBorder="1" applyAlignment="1" applyProtection="1">
      <alignment horizontal="center" vertical="top"/>
      <protection locked="0"/>
    </xf>
    <xf numFmtId="164" fontId="18" fillId="0" borderId="9" xfId="0" applyNumberFormat="1" applyFont="1" applyBorder="1" applyAlignment="1" applyProtection="1">
      <alignment horizontal="left" vertical="top"/>
      <protection locked="0"/>
    </xf>
    <xf numFmtId="0" fontId="18" fillId="0" borderId="9" xfId="0" applyFont="1" applyBorder="1" applyAlignment="1" applyProtection="1">
      <alignment horizontal="left" vertical="top"/>
      <protection locked="0"/>
    </xf>
    <xf numFmtId="0" fontId="21" fillId="0" borderId="9" xfId="0" applyFont="1" applyBorder="1" applyAlignment="1" applyProtection="1">
      <alignment horizontal="center" vertical="center"/>
      <protection locked="0"/>
    </xf>
    <xf numFmtId="2" fontId="21" fillId="0" borderId="9" xfId="0" applyNumberFormat="1" applyFont="1" applyBorder="1" applyAlignment="1">
      <alignment horizontal="center" vertical="center"/>
    </xf>
    <xf numFmtId="0" fontId="0" fillId="0" borderId="0" xfId="0" applyAlignment="1">
      <alignment horizontal="center"/>
    </xf>
    <xf numFmtId="0" fontId="22" fillId="0" borderId="0" xfId="0" applyFont="1" applyAlignment="1" applyProtection="1">
      <alignment horizontal="center" vertical="center"/>
      <protection locked="0"/>
    </xf>
    <xf numFmtId="0" fontId="22" fillId="0" borderId="0" xfId="0" applyFont="1" applyAlignment="1" applyProtection="1">
      <alignment horizontal="center" vertical="top" wrapText="1"/>
      <protection locked="0"/>
    </xf>
    <xf numFmtId="49" fontId="22" fillId="0" borderId="0" xfId="0" applyNumberFormat="1" applyFont="1" applyAlignment="1" applyProtection="1">
      <alignment horizontal="center" vertical="top"/>
      <protection locked="0"/>
    </xf>
    <xf numFmtId="14" fontId="22" fillId="0" borderId="0" xfId="0" applyNumberFormat="1" applyFont="1" applyAlignment="1" applyProtection="1">
      <alignment horizontal="center" vertical="top"/>
      <protection locked="0"/>
    </xf>
    <xf numFmtId="164" fontId="22" fillId="0" borderId="0" xfId="0" applyNumberFormat="1" applyFont="1" applyAlignment="1" applyProtection="1">
      <alignment horizontal="left" vertical="top" wrapText="1"/>
      <protection locked="0"/>
    </xf>
    <xf numFmtId="0" fontId="22" fillId="0" borderId="0" xfId="0" applyFont="1" applyAlignment="1" applyProtection="1">
      <alignment horizontal="left" vertical="top"/>
      <protection locked="0"/>
    </xf>
    <xf numFmtId="10" fontId="22" fillId="0" borderId="0" xfId="0" applyNumberFormat="1" applyFont="1" applyAlignment="1" applyProtection="1">
      <alignment horizontal="center" vertical="center"/>
      <protection locked="0"/>
    </xf>
    <xf numFmtId="2" fontId="22" fillId="0" borderId="0" xfId="0" applyNumberFormat="1" applyFont="1" applyAlignment="1">
      <alignment horizontal="center" vertical="center"/>
    </xf>
    <xf numFmtId="2" fontId="22" fillId="0" borderId="0" xfId="0" applyNumberFormat="1" applyFont="1"/>
    <xf numFmtId="0" fontId="22" fillId="0" borderId="0" xfId="0" applyFont="1"/>
    <xf numFmtId="0" fontId="22" fillId="0" borderId="0" xfId="0" applyFont="1" applyAlignment="1" applyProtection="1">
      <alignment horizontal="center" vertical="top"/>
      <protection locked="0"/>
    </xf>
    <xf numFmtId="0" fontId="23" fillId="2" borderId="21" xfId="0" applyFont="1" applyFill="1" applyBorder="1" applyAlignment="1">
      <alignment horizontal="center"/>
    </xf>
    <xf numFmtId="0" fontId="24" fillId="0" borderId="1" xfId="0" applyFont="1" applyBorder="1" applyAlignment="1">
      <alignment horizontal="center"/>
    </xf>
    <xf numFmtId="0" fontId="24" fillId="0" borderId="18" xfId="0" applyFont="1" applyBorder="1" applyAlignment="1">
      <alignment horizontal="center"/>
    </xf>
    <xf numFmtId="0" fontId="26" fillId="0" borderId="20" xfId="0" applyFont="1" applyBorder="1" applyAlignment="1">
      <alignment horizontal="center"/>
    </xf>
    <xf numFmtId="0" fontId="23" fillId="0" borderId="0" xfId="0" applyFont="1"/>
    <xf numFmtId="49" fontId="22" fillId="0" borderId="0" xfId="0" applyNumberFormat="1" applyFont="1" applyAlignment="1" applyProtection="1">
      <alignment horizontal="left" vertical="top"/>
      <protection locked="0"/>
    </xf>
    <xf numFmtId="164" fontId="22" fillId="0" borderId="0" xfId="0" applyNumberFormat="1" applyFont="1" applyAlignment="1" applyProtection="1">
      <alignment horizontal="left" vertical="top"/>
      <protection locked="0"/>
    </xf>
    <xf numFmtId="0" fontId="23" fillId="2" borderId="22" xfId="0" applyFont="1" applyFill="1" applyBorder="1" applyAlignment="1">
      <alignment horizontal="center"/>
    </xf>
    <xf numFmtId="0" fontId="24" fillId="0" borderId="17" xfId="0" applyFont="1" applyBorder="1" applyAlignment="1">
      <alignment horizontal="center"/>
    </xf>
    <xf numFmtId="0" fontId="24" fillId="0" borderId="19" xfId="0" applyFont="1" applyBorder="1" applyAlignment="1">
      <alignment horizontal="center"/>
    </xf>
    <xf numFmtId="0" fontId="23" fillId="2" borderId="11" xfId="0" applyFont="1" applyFill="1" applyBorder="1" applyAlignment="1">
      <alignment horizontal="center"/>
    </xf>
    <xf numFmtId="0" fontId="26" fillId="0" borderId="12" xfId="0" applyFont="1" applyBorder="1" applyAlignment="1">
      <alignment horizontal="center"/>
    </xf>
    <xf numFmtId="0" fontId="26" fillId="0" borderId="14" xfId="0" applyFont="1" applyBorder="1" applyAlignment="1">
      <alignment horizontal="center"/>
    </xf>
    <xf numFmtId="0" fontId="26" fillId="0" borderId="3" xfId="0" applyFont="1" applyBorder="1" applyAlignment="1">
      <alignment horizontal="center"/>
    </xf>
    <xf numFmtId="2" fontId="23" fillId="0" borderId="0" xfId="0" applyNumberFormat="1" applyFont="1" applyAlignment="1">
      <alignment horizontal="center" vertical="center"/>
    </xf>
    <xf numFmtId="0" fontId="22" fillId="0" borderId="33" xfId="0" applyFont="1" applyBorder="1" applyAlignment="1">
      <alignment horizontal="center"/>
    </xf>
    <xf numFmtId="0" fontId="23" fillId="5" borderId="32" xfId="0" applyFont="1" applyFill="1" applyBorder="1" applyAlignment="1">
      <alignment horizontal="center"/>
    </xf>
    <xf numFmtId="2" fontId="23" fillId="5" borderId="34" xfId="0" applyNumberFormat="1" applyFont="1" applyFill="1" applyBorder="1" applyAlignment="1">
      <alignment horizontal="center" vertical="center"/>
    </xf>
    <xf numFmtId="0" fontId="0" fillId="0" borderId="0" xfId="0" applyAlignment="1">
      <alignment vertical="center"/>
    </xf>
    <xf numFmtId="2" fontId="1" fillId="0" borderId="0" xfId="0" applyNumberFormat="1" applyFont="1" applyAlignment="1">
      <alignment horizontal="center" vertical="center"/>
    </xf>
    <xf numFmtId="49" fontId="20" fillId="2" borderId="31" xfId="0" applyNumberFormat="1" applyFont="1" applyFill="1" applyBorder="1" applyAlignment="1" applyProtection="1">
      <alignment horizontal="center" vertical="center"/>
      <protection locked="0"/>
    </xf>
    <xf numFmtId="14" fontId="20" fillId="2" borderId="31" xfId="0" applyNumberFormat="1" applyFont="1" applyFill="1" applyBorder="1" applyAlignment="1" applyProtection="1">
      <alignment horizontal="center" vertical="center"/>
      <protection locked="0"/>
    </xf>
    <xf numFmtId="164" fontId="20" fillId="2" borderId="31" xfId="0" applyNumberFormat="1" applyFont="1" applyFill="1" applyBorder="1" applyAlignment="1" applyProtection="1">
      <alignment horizontal="center" vertical="center"/>
      <protection locked="0"/>
    </xf>
    <xf numFmtId="2" fontId="20" fillId="2" borderId="31" xfId="0" applyNumberFormat="1" applyFont="1" applyFill="1" applyBorder="1" applyAlignment="1">
      <alignment horizontal="center" vertical="center"/>
    </xf>
    <xf numFmtId="2" fontId="0" fillId="0" borderId="0" xfId="0" applyNumberFormat="1" applyAlignment="1">
      <alignment horizontal="center"/>
    </xf>
    <xf numFmtId="2" fontId="0" fillId="0" borderId="9" xfId="0" applyNumberFormat="1" applyBorder="1" applyAlignment="1">
      <alignment horizontal="center"/>
    </xf>
    <xf numFmtId="0" fontId="0" fillId="0" borderId="0" xfId="0" applyAlignment="1" applyProtection="1">
      <alignment horizontal="center"/>
      <protection locked="0"/>
    </xf>
    <xf numFmtId="0" fontId="0" fillId="0" borderId="5" xfId="0" applyBorder="1" applyAlignment="1">
      <alignment horizontal="center"/>
    </xf>
    <xf numFmtId="0" fontId="0" fillId="0" borderId="7" xfId="0" applyBorder="1" applyAlignment="1" applyProtection="1">
      <alignment horizontal="center"/>
      <protection locked="0"/>
    </xf>
    <xf numFmtId="2" fontId="0" fillId="0" borderId="9" xfId="0" applyNumberFormat="1" applyBorder="1" applyAlignment="1" applyProtection="1">
      <alignment horizontal="center"/>
      <protection locked="0"/>
    </xf>
    <xf numFmtId="0" fontId="0" fillId="0" borderId="10" xfId="0" applyBorder="1" applyAlignment="1">
      <alignment horizontal="center"/>
    </xf>
    <xf numFmtId="0" fontId="14" fillId="0" borderId="21" xfId="0" applyFont="1" applyBorder="1"/>
    <xf numFmtId="0" fontId="14" fillId="0" borderId="1" xfId="0" applyFont="1" applyBorder="1"/>
    <xf numFmtId="0" fontId="13" fillId="0" borderId="1" xfId="0" applyFont="1" applyBorder="1"/>
    <xf numFmtId="0" fontId="14" fillId="0" borderId="22" xfId="0" applyFont="1" applyBorder="1"/>
    <xf numFmtId="0" fontId="14" fillId="0" borderId="17" xfId="0" applyFont="1" applyBorder="1"/>
    <xf numFmtId="0" fontId="13" fillId="0" borderId="17" xfId="0" applyFont="1" applyBorder="1"/>
    <xf numFmtId="2" fontId="13" fillId="0" borderId="13" xfId="0" applyNumberFormat="1" applyFont="1" applyBorder="1"/>
    <xf numFmtId="0" fontId="3" fillId="0" borderId="0" xfId="0" applyFont="1" applyAlignment="1">
      <alignment vertical="center" wrapText="1"/>
    </xf>
    <xf numFmtId="0" fontId="10" fillId="0" borderId="0" xfId="0" applyFont="1" applyAlignment="1">
      <alignment vertical="center" wrapText="1"/>
    </xf>
    <xf numFmtId="0" fontId="11" fillId="0" borderId="0" xfId="0" applyFont="1" applyAlignment="1">
      <alignment horizontal="left" vertical="center"/>
    </xf>
    <xf numFmtId="0" fontId="5" fillId="0" borderId="0" xfId="0" applyFont="1"/>
    <xf numFmtId="0" fontId="13" fillId="0" borderId="0" xfId="0" applyFont="1" applyAlignment="1" applyProtection="1">
      <alignment vertical="center"/>
      <protection locked="0"/>
    </xf>
    <xf numFmtId="0" fontId="14" fillId="0" borderId="0" xfId="0" applyFont="1" applyAlignment="1">
      <alignment horizontal="center" vertical="center"/>
    </xf>
    <xf numFmtId="14" fontId="18" fillId="2" borderId="12" xfId="0" applyNumberFormat="1" applyFont="1" applyFill="1" applyBorder="1" applyAlignment="1" applyProtection="1">
      <alignment horizontal="center" vertical="center"/>
      <protection locked="0"/>
    </xf>
    <xf numFmtId="0" fontId="0" fillId="0" borderId="9" xfId="0" applyBorder="1" applyProtection="1">
      <protection locked="0"/>
    </xf>
    <xf numFmtId="0" fontId="22" fillId="0" borderId="0" xfId="0" applyFont="1" applyAlignment="1" applyProtection="1">
      <alignment vertical="center"/>
      <protection locked="0"/>
    </xf>
    <xf numFmtId="49" fontId="0" fillId="0" borderId="0" xfId="0" applyNumberFormat="1" applyAlignment="1" applyProtection="1">
      <alignment horizontal="left" vertical="top"/>
      <protection locked="0"/>
    </xf>
    <xf numFmtId="0" fontId="0" fillId="0" borderId="0" xfId="0" applyAlignment="1" applyProtection="1">
      <alignment horizontal="center" vertical="center"/>
      <protection locked="0"/>
    </xf>
    <xf numFmtId="0" fontId="0" fillId="0" borderId="0" xfId="0" applyAlignment="1" applyProtection="1">
      <alignment horizontal="center" vertical="top"/>
      <protection locked="0"/>
    </xf>
    <xf numFmtId="49" fontId="0" fillId="0" borderId="0" xfId="0" applyNumberFormat="1" applyAlignment="1" applyProtection="1">
      <alignment horizontal="center" vertical="top"/>
      <protection locked="0"/>
    </xf>
    <xf numFmtId="14" fontId="0" fillId="0" borderId="0" xfId="0" applyNumberFormat="1" applyAlignment="1" applyProtection="1">
      <alignment horizontal="center" vertical="top"/>
      <protection locked="0"/>
    </xf>
    <xf numFmtId="164" fontId="0" fillId="0" borderId="0" xfId="0" applyNumberFormat="1" applyAlignment="1" applyProtection="1">
      <alignment horizontal="left" vertical="top"/>
      <protection locked="0"/>
    </xf>
    <xf numFmtId="0" fontId="0" fillId="0" borderId="0" xfId="0" applyAlignment="1" applyProtection="1">
      <alignment horizontal="left" vertical="top"/>
      <protection locked="0"/>
    </xf>
    <xf numFmtId="2" fontId="25" fillId="0" borderId="0" xfId="0" applyNumberFormat="1" applyFont="1"/>
    <xf numFmtId="2" fontId="23" fillId="5" borderId="35" xfId="0" applyNumberFormat="1" applyFont="1" applyFill="1" applyBorder="1" applyAlignment="1">
      <alignment horizontal="center" vertical="center"/>
    </xf>
    <xf numFmtId="0" fontId="24" fillId="5" borderId="36" xfId="0" applyFont="1" applyFill="1" applyBorder="1" applyAlignment="1">
      <alignment horizontal="center"/>
    </xf>
    <xf numFmtId="0" fontId="25" fillId="2" borderId="21" xfId="0" applyFont="1" applyFill="1" applyBorder="1"/>
    <xf numFmtId="2" fontId="26" fillId="0" borderId="37" xfId="0" applyNumberFormat="1" applyFont="1" applyBorder="1"/>
    <xf numFmtId="0" fontId="25" fillId="2" borderId="38" xfId="0" applyFont="1" applyFill="1" applyBorder="1"/>
    <xf numFmtId="2" fontId="26" fillId="0" borderId="39" xfId="0" applyNumberFormat="1" applyFont="1" applyBorder="1"/>
    <xf numFmtId="0" fontId="25" fillId="0" borderId="0" xfId="0" applyFont="1"/>
    <xf numFmtId="0" fontId="18" fillId="2" borderId="11" xfId="0" applyFont="1" applyFill="1" applyBorder="1" applyAlignment="1" applyProtection="1">
      <alignment horizontal="center" vertical="center"/>
      <protection locked="0"/>
    </xf>
    <xf numFmtId="0" fontId="0" fillId="0" borderId="4" xfId="0" applyBorder="1" applyProtection="1">
      <protection locked="0"/>
    </xf>
    <xf numFmtId="0" fontId="0" fillId="0" borderId="6" xfId="0" applyBorder="1" applyProtection="1">
      <protection locked="0"/>
    </xf>
    <xf numFmtId="0" fontId="0" fillId="0" borderId="0" xfId="0" applyAlignment="1">
      <alignment horizontal="center"/>
    </xf>
    <xf numFmtId="0" fontId="14" fillId="0" borderId="1" xfId="0" applyFont="1" applyBorder="1" applyAlignment="1">
      <alignment horizontal="right"/>
    </xf>
    <xf numFmtId="0" fontId="14" fillId="0" borderId="17" xfId="0" applyFont="1" applyBorder="1" applyAlignment="1">
      <alignment horizontal="right"/>
    </xf>
    <xf numFmtId="0" fontId="13" fillId="0" borderId="11" xfId="0" applyFont="1" applyBorder="1" applyAlignment="1">
      <alignment horizontal="right"/>
    </xf>
    <xf numFmtId="0" fontId="13" fillId="0" borderId="12" xfId="0" applyFont="1" applyBorder="1" applyAlignment="1">
      <alignment horizontal="right"/>
    </xf>
    <xf numFmtId="0" fontId="11" fillId="0" borderId="29" xfId="0" applyFont="1" applyBorder="1" applyAlignment="1">
      <alignment horizontal="center" vertical="center"/>
    </xf>
    <xf numFmtId="0" fontId="11" fillId="0" borderId="30" xfId="0" applyFont="1" applyBorder="1" applyAlignment="1">
      <alignment horizontal="center" vertical="center"/>
    </xf>
    <xf numFmtId="0" fontId="14" fillId="0" borderId="6" xfId="0" applyFont="1" applyBorder="1" applyAlignment="1">
      <alignment horizontal="center" vertical="center"/>
    </xf>
    <xf numFmtId="0" fontId="14" fillId="0" borderId="7" xfId="0" applyFont="1" applyBorder="1" applyAlignment="1">
      <alignment horizontal="center" vertical="center"/>
    </xf>
    <xf numFmtId="0" fontId="14" fillId="0" borderId="8" xfId="0" applyFont="1" applyBorder="1" applyAlignment="1">
      <alignment horizontal="center" vertical="center"/>
    </xf>
    <xf numFmtId="0" fontId="14" fillId="0" borderId="2" xfId="0" applyFont="1" applyBorder="1" applyAlignment="1">
      <alignment horizontal="center" vertical="center"/>
    </xf>
    <xf numFmtId="0" fontId="14" fillId="0" borderId="9" xfId="0" applyFont="1" applyBorder="1" applyAlignment="1">
      <alignment horizontal="center" vertical="center"/>
    </xf>
    <xf numFmtId="0" fontId="14" fillId="0" borderId="10" xfId="0" applyFont="1" applyBorder="1" applyAlignment="1">
      <alignment horizontal="center" vertical="center"/>
    </xf>
    <xf numFmtId="0" fontId="17" fillId="0" borderId="15" xfId="0" applyFont="1" applyBorder="1" applyAlignment="1">
      <alignment horizontal="center" vertical="center" wrapText="1"/>
    </xf>
    <xf numFmtId="0" fontId="17" fillId="0" borderId="23" xfId="0" applyFont="1" applyBorder="1" applyAlignment="1">
      <alignment horizontal="center" vertical="center" wrapText="1"/>
    </xf>
    <xf numFmtId="0" fontId="17" fillId="0" borderId="16"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0" xfId="0" applyFont="1" applyAlignment="1">
      <alignment horizontal="center" vertical="center" wrapText="1"/>
    </xf>
    <xf numFmtId="0" fontId="17" fillId="0" borderId="5" xfId="0" applyFont="1" applyBorder="1" applyAlignment="1">
      <alignment horizontal="center" vertical="center" wrapText="1"/>
    </xf>
    <xf numFmtId="0" fontId="15" fillId="0" borderId="15" xfId="0" applyFont="1" applyBorder="1" applyAlignment="1">
      <alignment horizontal="center" vertical="center"/>
    </xf>
    <xf numFmtId="0" fontId="15" fillId="0" borderId="23" xfId="0" applyFont="1" applyBorder="1" applyAlignment="1">
      <alignment horizontal="center" vertical="center"/>
    </xf>
    <xf numFmtId="0" fontId="15" fillId="0" borderId="16" xfId="0" applyFont="1" applyBorder="1" applyAlignment="1">
      <alignment horizontal="center" vertical="center"/>
    </xf>
    <xf numFmtId="0" fontId="15" fillId="0" borderId="6" xfId="0" applyFont="1" applyBorder="1" applyAlignment="1">
      <alignment horizontal="center" vertical="center"/>
    </xf>
    <xf numFmtId="0" fontId="15" fillId="0" borderId="7" xfId="0" applyFont="1" applyBorder="1" applyAlignment="1">
      <alignment horizontal="center" vertical="center"/>
    </xf>
    <xf numFmtId="0" fontId="15" fillId="0" borderId="8" xfId="0" applyFont="1" applyBorder="1" applyAlignment="1">
      <alignment horizontal="center" vertical="center"/>
    </xf>
    <xf numFmtId="0" fontId="16" fillId="0" borderId="24" xfId="0" applyFont="1" applyBorder="1" applyAlignment="1">
      <alignment horizontal="center" vertical="center" wrapText="1"/>
    </xf>
    <xf numFmtId="0" fontId="16" fillId="0" borderId="25" xfId="0" applyFont="1" applyBorder="1" applyAlignment="1">
      <alignment horizontal="center" vertical="center" wrapText="1"/>
    </xf>
    <xf numFmtId="0" fontId="16" fillId="0" borderId="26" xfId="0" applyFont="1" applyBorder="1" applyAlignment="1">
      <alignment horizontal="center" vertical="center" wrapText="1"/>
    </xf>
    <xf numFmtId="0" fontId="12" fillId="0" borderId="0" xfId="0" applyFont="1" applyAlignment="1" applyProtection="1">
      <alignment horizontal="center" vertical="center"/>
      <protection locked="0"/>
    </xf>
    <xf numFmtId="0" fontId="13" fillId="0" borderId="0" xfId="0" applyFont="1" applyAlignment="1" applyProtection="1">
      <alignment horizontal="left" vertical="center"/>
      <protection locked="0"/>
    </xf>
    <xf numFmtId="0" fontId="11" fillId="0" borderId="4" xfId="0" applyFont="1" applyBorder="1" applyAlignment="1">
      <alignment horizontal="left" vertical="center"/>
    </xf>
    <xf numFmtId="0" fontId="11" fillId="0" borderId="0" xfId="0" applyFont="1" applyAlignment="1">
      <alignment horizontal="left" vertical="center"/>
    </xf>
    <xf numFmtId="0" fontId="13" fillId="0" borderId="0" xfId="0" applyFont="1" applyAlignment="1">
      <alignment horizontal="left" vertical="center"/>
    </xf>
    <xf numFmtId="0" fontId="12" fillId="0" borderId="0" xfId="0" applyFont="1" applyAlignment="1">
      <alignment horizontal="left" vertical="center"/>
    </xf>
    <xf numFmtId="0" fontId="12" fillId="0" borderId="5" xfId="0" applyFont="1" applyBorder="1" applyAlignment="1">
      <alignment horizontal="left" vertical="center"/>
    </xf>
    <xf numFmtId="14" fontId="12" fillId="0" borderId="0" xfId="0" applyNumberFormat="1" applyFont="1" applyAlignment="1">
      <alignment horizontal="left" vertical="center"/>
    </xf>
    <xf numFmtId="14" fontId="12" fillId="0" borderId="5" xfId="0" applyNumberFormat="1" applyFont="1" applyBorder="1" applyAlignment="1">
      <alignment horizontal="left" vertical="center"/>
    </xf>
    <xf numFmtId="0" fontId="9" fillId="0" borderId="4" xfId="0" applyFont="1" applyBorder="1" applyAlignment="1">
      <alignment horizontal="left" vertical="center"/>
    </xf>
    <xf numFmtId="0" fontId="9" fillId="0" borderId="0" xfId="0" applyFont="1" applyAlignment="1">
      <alignment horizontal="left" vertical="center"/>
    </xf>
    <xf numFmtId="0" fontId="11" fillId="0" borderId="4" xfId="0" applyFont="1" applyBorder="1" applyAlignment="1">
      <alignment horizontal="left"/>
    </xf>
    <xf numFmtId="0" fontId="11" fillId="0" borderId="0" xfId="0" applyFont="1" applyAlignment="1">
      <alignment horizontal="left"/>
    </xf>
  </cellXfs>
  <cellStyles count="1">
    <cellStyle name="Normal" xfId="0" builtinId="0"/>
  </cellStyles>
  <dxfs count="2">
    <dxf>
      <font>
        <color theme="9" tint="-0.24994659260841701"/>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dRichValueTypes" Target="richData/rdRichValueTyp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17/06/relationships/rdRichValue" Target="richData/rdrichvalue.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47625</xdr:colOff>
      <xdr:row>2</xdr:row>
      <xdr:rowOff>0</xdr:rowOff>
    </xdr:from>
    <xdr:to>
      <xdr:col>14</xdr:col>
      <xdr:colOff>95250</xdr:colOff>
      <xdr:row>4</xdr:row>
      <xdr:rowOff>28575</xdr:rowOff>
    </xdr:to>
    <xdr:sp macro="[0]!printandsave" textlink="">
      <xdr:nvSpPr>
        <xdr:cNvPr id="2" name="Rectangle: Rounded Corners 1">
          <a:extLst>
            <a:ext uri="{FF2B5EF4-FFF2-40B4-BE49-F238E27FC236}">
              <a16:creationId xmlns:a16="http://schemas.microsoft.com/office/drawing/2014/main" id="{A584A8FD-8D83-00A5-ABA4-1ACD6691D04B}"/>
            </a:ext>
          </a:extLst>
        </xdr:cNvPr>
        <xdr:cNvSpPr/>
      </xdr:nvSpPr>
      <xdr:spPr>
        <a:xfrm>
          <a:off x="7029450" y="495300"/>
          <a:ext cx="1266825" cy="40957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266700</xdr:colOff>
      <xdr:row>1</xdr:row>
      <xdr:rowOff>152400</xdr:rowOff>
    </xdr:from>
    <xdr:to>
      <xdr:col>5</xdr:col>
      <xdr:colOff>1409700</xdr:colOff>
      <xdr:row>15</xdr:row>
      <xdr:rowOff>152400</xdr:rowOff>
    </xdr:to>
    <mc:AlternateContent xmlns:mc="http://schemas.openxmlformats.org/markup-compatibility/2006" xmlns:a14="http://schemas.microsoft.com/office/drawing/2010/main">
      <mc:Choice Requires="a14">
        <xdr:graphicFrame macro="">
          <xdr:nvGraphicFramePr>
            <xdr:cNvPr id="3" name="Claas">
              <a:extLst>
                <a:ext uri="{FF2B5EF4-FFF2-40B4-BE49-F238E27FC236}">
                  <a16:creationId xmlns:a16="http://schemas.microsoft.com/office/drawing/2014/main" id="{002929AB-ACAF-9FF9-857E-DF2482A9DFAA}"/>
                </a:ext>
              </a:extLst>
            </xdr:cNvPr>
            <xdr:cNvGraphicFramePr/>
          </xdr:nvGraphicFramePr>
          <xdr:xfrm>
            <a:off x="0" y="0"/>
            <a:ext cx="0" cy="0"/>
          </xdr:xfrm>
          <a:graphic>
            <a:graphicData uri="http://schemas.microsoft.com/office/drawing/2010/slicer">
              <sle:slicer xmlns:sle="http://schemas.microsoft.com/office/drawing/2010/slicer" name="Claas"/>
            </a:graphicData>
          </a:graphic>
        </xdr:graphicFrame>
      </mc:Choice>
      <mc:Fallback xmlns="">
        <xdr:sp macro="" textlink="">
          <xdr:nvSpPr>
            <xdr:cNvPr id="0" name=""/>
            <xdr:cNvSpPr>
              <a:spLocks noTextEdit="1"/>
            </xdr:cNvSpPr>
          </xdr:nvSpPr>
          <xdr:spPr>
            <a:xfrm>
              <a:off x="4895850" y="342900"/>
              <a:ext cx="1828800" cy="2667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384.761931944442" createdVersion="8" refreshedVersion="8" minRefreshableVersion="3" recordCount="200" xr:uid="{CDC20B17-5927-412C-9FE4-2CE2A562E5E8}">
  <cacheSource type="worksheet">
    <worksheetSource ref="A2:K202" sheet="FEE ENTRY"/>
  </cacheSource>
  <cacheFields count="13">
    <cacheField name="Sr. No." numFmtId="0">
      <sharedItems containsSemiMixedTypes="0" containsString="0" containsNumber="1" containsInteger="1" minValue="202425001" maxValue="202425200"/>
    </cacheField>
    <cacheField name="Date" numFmtId="14">
      <sharedItems containsNonDate="0" containsDate="1" containsString="0" containsBlank="1" minDate="1900-01-22T00:00:00" maxDate="2024-03-27T00:00:00" count="5">
        <m/>
        <d v="1900-01-22T00:00:00" u="1"/>
        <d v="1900-01-23T00:00:00" u="1"/>
        <d v="1900-01-24T00:00:00" u="1"/>
        <d v="2024-03-26T00:00:00" u="1"/>
      </sharedItems>
      <fieldGroup par="12"/>
    </cacheField>
    <cacheField name="Student's Name" numFmtId="0">
      <sharedItems containsNonDate="0" containsBlank="1" count="4">
        <m/>
        <s v="Firdos Banu Abdul Naim Shaikh" u="1"/>
        <s v="Parvez Aspak Mandaviya" u="1"/>
        <s v="Mahenoor Raufbhai Dhariwala" u="1"/>
      </sharedItems>
    </cacheField>
    <cacheField name="Claas" numFmtId="0">
      <sharedItems count="4">
        <e v="#N/A"/>
        <s v="7th" u="1"/>
        <s v="4th" u="1"/>
        <s v="9th" u="1"/>
      </sharedItems>
    </cacheField>
    <cacheField name="Total Fee" numFmtId="2">
      <sharedItems/>
    </cacheField>
    <cacheField name="Discount" numFmtId="2">
      <sharedItems/>
    </cacheField>
    <cacheField name="Payable Fee" numFmtId="2">
      <sharedItems/>
    </cacheField>
    <cacheField name="Old Remaining Fee" numFmtId="2">
      <sharedItems/>
    </cacheField>
    <cacheField name="Deposit" numFmtId="0">
      <sharedItems containsNonDate="0" containsString="0" containsBlank="1"/>
    </cacheField>
    <cacheField name="Now Remaining" numFmtId="2">
      <sharedItems/>
    </cacheField>
    <cacheField name="Total Deposit" numFmtId="0">
      <sharedItems containsSemiMixedTypes="0" containsString="0" containsNumber="1" containsInteger="1" minValue="0" maxValue="0"/>
    </cacheField>
    <cacheField name="Days (Date)" numFmtId="0" databaseField="0">
      <fieldGroup base="1">
        <rangePr groupBy="days" startDate="1905-01-01T00:00:00" endDate="1905-01-01T00:00:00"/>
        <groupItems count="368">
          <s v="&lt;01-01-190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1-1905"/>
        </groupItems>
      </fieldGroup>
    </cacheField>
    <cacheField name="Months (Date)" numFmtId="0" databaseField="0">
      <fieldGroup base="1">
        <rangePr groupBy="months" startDate="1905-01-01T00:00:00" endDate="1905-01-01T00:00:00"/>
        <groupItems count="14">
          <s v="&lt;01-01-1905"/>
          <s v="Jan"/>
          <s v="Feb"/>
          <s v="Mar"/>
          <s v="Apr"/>
          <s v="May"/>
          <s v="Jun"/>
          <s v="Jul"/>
          <s v="Aug"/>
          <s v="Sep"/>
          <s v="Oct"/>
          <s v="Nov"/>
          <s v="Dec"/>
          <s v="&gt;01-01-1905"/>
        </groupItems>
      </fieldGroup>
    </cacheField>
  </cacheFields>
  <extLst>
    <ext xmlns:x14="http://schemas.microsoft.com/office/spreadsheetml/2009/9/main" uri="{725AE2AE-9491-48be-B2B4-4EB974FC3084}">
      <x14:pivotCacheDefinition pivotCacheId="21115487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n v="202425001"/>
    <x v="0"/>
    <x v="0"/>
    <x v="0"/>
    <e v="#N/A"/>
    <e v="#N/A"/>
    <e v="#N/A"/>
    <e v="#N/A"/>
    <m/>
    <e v="#N/A"/>
    <n v="0"/>
  </r>
  <r>
    <n v="202425002"/>
    <x v="0"/>
    <x v="0"/>
    <x v="0"/>
    <e v="#N/A"/>
    <e v="#N/A"/>
    <e v="#N/A"/>
    <e v="#N/A"/>
    <m/>
    <e v="#N/A"/>
    <n v="0"/>
  </r>
  <r>
    <n v="202425003"/>
    <x v="0"/>
    <x v="0"/>
    <x v="0"/>
    <e v="#N/A"/>
    <e v="#N/A"/>
    <e v="#N/A"/>
    <e v="#N/A"/>
    <m/>
    <e v="#N/A"/>
    <n v="0"/>
  </r>
  <r>
    <n v="202425004"/>
    <x v="0"/>
    <x v="0"/>
    <x v="0"/>
    <e v="#N/A"/>
    <e v="#N/A"/>
    <e v="#N/A"/>
    <e v="#N/A"/>
    <m/>
    <e v="#N/A"/>
    <n v="0"/>
  </r>
  <r>
    <n v="202425005"/>
    <x v="0"/>
    <x v="0"/>
    <x v="0"/>
    <e v="#N/A"/>
    <e v="#N/A"/>
    <e v="#N/A"/>
    <e v="#N/A"/>
    <m/>
    <e v="#N/A"/>
    <n v="0"/>
  </r>
  <r>
    <n v="202425006"/>
    <x v="0"/>
    <x v="0"/>
    <x v="0"/>
    <e v="#N/A"/>
    <e v="#N/A"/>
    <e v="#N/A"/>
    <e v="#N/A"/>
    <m/>
    <e v="#N/A"/>
    <n v="0"/>
  </r>
  <r>
    <n v="202425007"/>
    <x v="0"/>
    <x v="0"/>
    <x v="0"/>
    <e v="#N/A"/>
    <e v="#N/A"/>
    <e v="#N/A"/>
    <e v="#N/A"/>
    <m/>
    <e v="#N/A"/>
    <n v="0"/>
  </r>
  <r>
    <n v="202425008"/>
    <x v="0"/>
    <x v="0"/>
    <x v="0"/>
    <e v="#N/A"/>
    <e v="#N/A"/>
    <e v="#N/A"/>
    <e v="#N/A"/>
    <m/>
    <e v="#N/A"/>
    <n v="0"/>
  </r>
  <r>
    <n v="202425009"/>
    <x v="0"/>
    <x v="0"/>
    <x v="0"/>
    <e v="#N/A"/>
    <e v="#N/A"/>
    <e v="#N/A"/>
    <e v="#N/A"/>
    <m/>
    <e v="#N/A"/>
    <n v="0"/>
  </r>
  <r>
    <n v="202425010"/>
    <x v="0"/>
    <x v="0"/>
    <x v="0"/>
    <e v="#N/A"/>
    <e v="#N/A"/>
    <e v="#N/A"/>
    <e v="#N/A"/>
    <m/>
    <e v="#N/A"/>
    <n v="0"/>
  </r>
  <r>
    <n v="202425011"/>
    <x v="0"/>
    <x v="0"/>
    <x v="0"/>
    <e v="#N/A"/>
    <e v="#N/A"/>
    <e v="#N/A"/>
    <e v="#N/A"/>
    <m/>
    <e v="#N/A"/>
    <n v="0"/>
  </r>
  <r>
    <n v="202425012"/>
    <x v="0"/>
    <x v="0"/>
    <x v="0"/>
    <e v="#N/A"/>
    <e v="#N/A"/>
    <e v="#N/A"/>
    <e v="#N/A"/>
    <m/>
    <e v="#N/A"/>
    <n v="0"/>
  </r>
  <r>
    <n v="202425013"/>
    <x v="0"/>
    <x v="0"/>
    <x v="0"/>
    <e v="#N/A"/>
    <e v="#N/A"/>
    <e v="#N/A"/>
    <e v="#N/A"/>
    <m/>
    <e v="#N/A"/>
    <n v="0"/>
  </r>
  <r>
    <n v="202425014"/>
    <x v="0"/>
    <x v="0"/>
    <x v="0"/>
    <e v="#N/A"/>
    <e v="#N/A"/>
    <e v="#N/A"/>
    <e v="#N/A"/>
    <m/>
    <e v="#N/A"/>
    <n v="0"/>
  </r>
  <r>
    <n v="202425015"/>
    <x v="0"/>
    <x v="0"/>
    <x v="0"/>
    <e v="#N/A"/>
    <e v="#N/A"/>
    <e v="#N/A"/>
    <e v="#N/A"/>
    <m/>
    <e v="#N/A"/>
    <n v="0"/>
  </r>
  <r>
    <n v="202425016"/>
    <x v="0"/>
    <x v="0"/>
    <x v="0"/>
    <e v="#N/A"/>
    <e v="#N/A"/>
    <e v="#N/A"/>
    <e v="#N/A"/>
    <m/>
    <e v="#N/A"/>
    <n v="0"/>
  </r>
  <r>
    <n v="202425017"/>
    <x v="0"/>
    <x v="0"/>
    <x v="0"/>
    <e v="#N/A"/>
    <e v="#N/A"/>
    <e v="#N/A"/>
    <e v="#N/A"/>
    <m/>
    <e v="#N/A"/>
    <n v="0"/>
  </r>
  <r>
    <n v="202425018"/>
    <x v="0"/>
    <x v="0"/>
    <x v="0"/>
    <e v="#N/A"/>
    <e v="#N/A"/>
    <e v="#N/A"/>
    <e v="#N/A"/>
    <m/>
    <e v="#N/A"/>
    <n v="0"/>
  </r>
  <r>
    <n v="202425019"/>
    <x v="0"/>
    <x v="0"/>
    <x v="0"/>
    <e v="#N/A"/>
    <e v="#N/A"/>
    <e v="#N/A"/>
    <e v="#N/A"/>
    <m/>
    <e v="#N/A"/>
    <n v="0"/>
  </r>
  <r>
    <n v="202425020"/>
    <x v="0"/>
    <x v="0"/>
    <x v="0"/>
    <e v="#N/A"/>
    <e v="#N/A"/>
    <e v="#N/A"/>
    <e v="#N/A"/>
    <m/>
    <e v="#N/A"/>
    <n v="0"/>
  </r>
  <r>
    <n v="202425021"/>
    <x v="0"/>
    <x v="0"/>
    <x v="0"/>
    <e v="#N/A"/>
    <e v="#N/A"/>
    <e v="#N/A"/>
    <e v="#N/A"/>
    <m/>
    <e v="#N/A"/>
    <n v="0"/>
  </r>
  <r>
    <n v="202425022"/>
    <x v="0"/>
    <x v="0"/>
    <x v="0"/>
    <e v="#N/A"/>
    <e v="#N/A"/>
    <e v="#N/A"/>
    <e v="#N/A"/>
    <m/>
    <e v="#N/A"/>
    <n v="0"/>
  </r>
  <r>
    <n v="202425023"/>
    <x v="0"/>
    <x v="0"/>
    <x v="0"/>
    <e v="#N/A"/>
    <e v="#N/A"/>
    <e v="#N/A"/>
    <e v="#N/A"/>
    <m/>
    <e v="#N/A"/>
    <n v="0"/>
  </r>
  <r>
    <n v="202425024"/>
    <x v="0"/>
    <x v="0"/>
    <x v="0"/>
    <e v="#N/A"/>
    <e v="#N/A"/>
    <e v="#N/A"/>
    <e v="#N/A"/>
    <m/>
    <e v="#N/A"/>
    <n v="0"/>
  </r>
  <r>
    <n v="202425025"/>
    <x v="0"/>
    <x v="0"/>
    <x v="0"/>
    <e v="#N/A"/>
    <e v="#N/A"/>
    <e v="#N/A"/>
    <e v="#N/A"/>
    <m/>
    <e v="#N/A"/>
    <n v="0"/>
  </r>
  <r>
    <n v="202425026"/>
    <x v="0"/>
    <x v="0"/>
    <x v="0"/>
    <e v="#N/A"/>
    <e v="#N/A"/>
    <e v="#N/A"/>
    <e v="#N/A"/>
    <m/>
    <e v="#N/A"/>
    <n v="0"/>
  </r>
  <r>
    <n v="202425027"/>
    <x v="0"/>
    <x v="0"/>
    <x v="0"/>
    <e v="#N/A"/>
    <e v="#N/A"/>
    <e v="#N/A"/>
    <e v="#N/A"/>
    <m/>
    <e v="#N/A"/>
    <n v="0"/>
  </r>
  <r>
    <n v="202425028"/>
    <x v="0"/>
    <x v="0"/>
    <x v="0"/>
    <e v="#N/A"/>
    <e v="#N/A"/>
    <e v="#N/A"/>
    <e v="#N/A"/>
    <m/>
    <e v="#N/A"/>
    <n v="0"/>
  </r>
  <r>
    <n v="202425029"/>
    <x v="0"/>
    <x v="0"/>
    <x v="0"/>
    <e v="#N/A"/>
    <e v="#N/A"/>
    <e v="#N/A"/>
    <e v="#N/A"/>
    <m/>
    <e v="#N/A"/>
    <n v="0"/>
  </r>
  <r>
    <n v="202425030"/>
    <x v="0"/>
    <x v="0"/>
    <x v="0"/>
    <e v="#N/A"/>
    <e v="#N/A"/>
    <e v="#N/A"/>
    <e v="#N/A"/>
    <m/>
    <e v="#N/A"/>
    <n v="0"/>
  </r>
  <r>
    <n v="202425031"/>
    <x v="0"/>
    <x v="0"/>
    <x v="0"/>
    <e v="#N/A"/>
    <e v="#N/A"/>
    <e v="#N/A"/>
    <e v="#N/A"/>
    <m/>
    <e v="#N/A"/>
    <n v="0"/>
  </r>
  <r>
    <n v="202425032"/>
    <x v="0"/>
    <x v="0"/>
    <x v="0"/>
    <e v="#N/A"/>
    <e v="#N/A"/>
    <e v="#N/A"/>
    <e v="#N/A"/>
    <m/>
    <e v="#N/A"/>
    <n v="0"/>
  </r>
  <r>
    <n v="202425033"/>
    <x v="0"/>
    <x v="0"/>
    <x v="0"/>
    <e v="#N/A"/>
    <e v="#N/A"/>
    <e v="#N/A"/>
    <e v="#N/A"/>
    <m/>
    <e v="#N/A"/>
    <n v="0"/>
  </r>
  <r>
    <n v="202425034"/>
    <x v="0"/>
    <x v="0"/>
    <x v="0"/>
    <e v="#N/A"/>
    <e v="#N/A"/>
    <e v="#N/A"/>
    <e v="#N/A"/>
    <m/>
    <e v="#N/A"/>
    <n v="0"/>
  </r>
  <r>
    <n v="202425035"/>
    <x v="0"/>
    <x v="0"/>
    <x v="0"/>
    <e v="#N/A"/>
    <e v="#N/A"/>
    <e v="#N/A"/>
    <e v="#N/A"/>
    <m/>
    <e v="#N/A"/>
    <n v="0"/>
  </r>
  <r>
    <n v="202425036"/>
    <x v="0"/>
    <x v="0"/>
    <x v="0"/>
    <e v="#N/A"/>
    <e v="#N/A"/>
    <e v="#N/A"/>
    <e v="#N/A"/>
    <m/>
    <e v="#N/A"/>
    <n v="0"/>
  </r>
  <r>
    <n v="202425037"/>
    <x v="0"/>
    <x v="0"/>
    <x v="0"/>
    <e v="#N/A"/>
    <e v="#N/A"/>
    <e v="#N/A"/>
    <e v="#N/A"/>
    <m/>
    <e v="#N/A"/>
    <n v="0"/>
  </r>
  <r>
    <n v="202425038"/>
    <x v="0"/>
    <x v="0"/>
    <x v="0"/>
    <e v="#N/A"/>
    <e v="#N/A"/>
    <e v="#N/A"/>
    <e v="#N/A"/>
    <m/>
    <e v="#N/A"/>
    <n v="0"/>
  </r>
  <r>
    <n v="202425039"/>
    <x v="0"/>
    <x v="0"/>
    <x v="0"/>
    <e v="#N/A"/>
    <e v="#N/A"/>
    <e v="#N/A"/>
    <e v="#N/A"/>
    <m/>
    <e v="#N/A"/>
    <n v="0"/>
  </r>
  <r>
    <n v="202425040"/>
    <x v="0"/>
    <x v="0"/>
    <x v="0"/>
    <e v="#N/A"/>
    <e v="#N/A"/>
    <e v="#N/A"/>
    <e v="#N/A"/>
    <m/>
    <e v="#N/A"/>
    <n v="0"/>
  </r>
  <r>
    <n v="202425041"/>
    <x v="0"/>
    <x v="0"/>
    <x v="0"/>
    <e v="#N/A"/>
    <e v="#N/A"/>
    <e v="#N/A"/>
    <e v="#N/A"/>
    <m/>
    <e v="#N/A"/>
    <n v="0"/>
  </r>
  <r>
    <n v="202425042"/>
    <x v="0"/>
    <x v="0"/>
    <x v="0"/>
    <e v="#N/A"/>
    <e v="#N/A"/>
    <e v="#N/A"/>
    <e v="#N/A"/>
    <m/>
    <e v="#N/A"/>
    <n v="0"/>
  </r>
  <r>
    <n v="202425043"/>
    <x v="0"/>
    <x v="0"/>
    <x v="0"/>
    <e v="#N/A"/>
    <e v="#N/A"/>
    <e v="#N/A"/>
    <e v="#N/A"/>
    <m/>
    <e v="#N/A"/>
    <n v="0"/>
  </r>
  <r>
    <n v="202425044"/>
    <x v="0"/>
    <x v="0"/>
    <x v="0"/>
    <e v="#N/A"/>
    <e v="#N/A"/>
    <e v="#N/A"/>
    <e v="#N/A"/>
    <m/>
    <e v="#N/A"/>
    <n v="0"/>
  </r>
  <r>
    <n v="202425045"/>
    <x v="0"/>
    <x v="0"/>
    <x v="0"/>
    <e v="#N/A"/>
    <e v="#N/A"/>
    <e v="#N/A"/>
    <e v="#N/A"/>
    <m/>
    <e v="#N/A"/>
    <n v="0"/>
  </r>
  <r>
    <n v="202425046"/>
    <x v="0"/>
    <x v="0"/>
    <x v="0"/>
    <e v="#N/A"/>
    <e v="#N/A"/>
    <e v="#N/A"/>
    <e v="#N/A"/>
    <m/>
    <e v="#N/A"/>
    <n v="0"/>
  </r>
  <r>
    <n v="202425047"/>
    <x v="0"/>
    <x v="0"/>
    <x v="0"/>
    <e v="#N/A"/>
    <e v="#N/A"/>
    <e v="#N/A"/>
    <e v="#N/A"/>
    <m/>
    <e v="#N/A"/>
    <n v="0"/>
  </r>
  <r>
    <n v="202425048"/>
    <x v="0"/>
    <x v="0"/>
    <x v="0"/>
    <e v="#N/A"/>
    <e v="#N/A"/>
    <e v="#N/A"/>
    <e v="#N/A"/>
    <m/>
    <e v="#N/A"/>
    <n v="0"/>
  </r>
  <r>
    <n v="202425049"/>
    <x v="0"/>
    <x v="0"/>
    <x v="0"/>
    <e v="#N/A"/>
    <e v="#N/A"/>
    <e v="#N/A"/>
    <e v="#N/A"/>
    <m/>
    <e v="#N/A"/>
    <n v="0"/>
  </r>
  <r>
    <n v="202425050"/>
    <x v="0"/>
    <x v="0"/>
    <x v="0"/>
    <e v="#N/A"/>
    <e v="#N/A"/>
    <e v="#N/A"/>
    <e v="#N/A"/>
    <m/>
    <e v="#N/A"/>
    <n v="0"/>
  </r>
  <r>
    <n v="202425051"/>
    <x v="0"/>
    <x v="0"/>
    <x v="0"/>
    <e v="#N/A"/>
    <e v="#N/A"/>
    <e v="#N/A"/>
    <e v="#N/A"/>
    <m/>
    <e v="#N/A"/>
    <n v="0"/>
  </r>
  <r>
    <n v="202425052"/>
    <x v="0"/>
    <x v="0"/>
    <x v="0"/>
    <e v="#N/A"/>
    <e v="#N/A"/>
    <e v="#N/A"/>
    <e v="#N/A"/>
    <m/>
    <e v="#N/A"/>
    <n v="0"/>
  </r>
  <r>
    <n v="202425053"/>
    <x v="0"/>
    <x v="0"/>
    <x v="0"/>
    <e v="#N/A"/>
    <e v="#N/A"/>
    <e v="#N/A"/>
    <e v="#N/A"/>
    <m/>
    <e v="#N/A"/>
    <n v="0"/>
  </r>
  <r>
    <n v="202425054"/>
    <x v="0"/>
    <x v="0"/>
    <x v="0"/>
    <e v="#N/A"/>
    <e v="#N/A"/>
    <e v="#N/A"/>
    <e v="#N/A"/>
    <m/>
    <e v="#N/A"/>
    <n v="0"/>
  </r>
  <r>
    <n v="202425055"/>
    <x v="0"/>
    <x v="0"/>
    <x v="0"/>
    <e v="#N/A"/>
    <e v="#N/A"/>
    <e v="#N/A"/>
    <e v="#N/A"/>
    <m/>
    <e v="#N/A"/>
    <n v="0"/>
  </r>
  <r>
    <n v="202425056"/>
    <x v="0"/>
    <x v="0"/>
    <x v="0"/>
    <e v="#N/A"/>
    <e v="#N/A"/>
    <e v="#N/A"/>
    <e v="#N/A"/>
    <m/>
    <e v="#N/A"/>
    <n v="0"/>
  </r>
  <r>
    <n v="202425057"/>
    <x v="0"/>
    <x v="0"/>
    <x v="0"/>
    <e v="#N/A"/>
    <e v="#N/A"/>
    <e v="#N/A"/>
    <e v="#N/A"/>
    <m/>
    <e v="#N/A"/>
    <n v="0"/>
  </r>
  <r>
    <n v="202425058"/>
    <x v="0"/>
    <x v="0"/>
    <x v="0"/>
    <e v="#N/A"/>
    <e v="#N/A"/>
    <e v="#N/A"/>
    <e v="#N/A"/>
    <m/>
    <e v="#N/A"/>
    <n v="0"/>
  </r>
  <r>
    <n v="202425059"/>
    <x v="0"/>
    <x v="0"/>
    <x v="0"/>
    <e v="#N/A"/>
    <e v="#N/A"/>
    <e v="#N/A"/>
    <e v="#N/A"/>
    <m/>
    <e v="#N/A"/>
    <n v="0"/>
  </r>
  <r>
    <n v="202425060"/>
    <x v="0"/>
    <x v="0"/>
    <x v="0"/>
    <e v="#N/A"/>
    <e v="#N/A"/>
    <e v="#N/A"/>
    <e v="#N/A"/>
    <m/>
    <e v="#N/A"/>
    <n v="0"/>
  </r>
  <r>
    <n v="202425061"/>
    <x v="0"/>
    <x v="0"/>
    <x v="0"/>
    <e v="#N/A"/>
    <e v="#N/A"/>
    <e v="#N/A"/>
    <e v="#N/A"/>
    <m/>
    <e v="#N/A"/>
    <n v="0"/>
  </r>
  <r>
    <n v="202425062"/>
    <x v="0"/>
    <x v="0"/>
    <x v="0"/>
    <e v="#N/A"/>
    <e v="#N/A"/>
    <e v="#N/A"/>
    <e v="#N/A"/>
    <m/>
    <e v="#N/A"/>
    <n v="0"/>
  </r>
  <r>
    <n v="202425063"/>
    <x v="0"/>
    <x v="0"/>
    <x v="0"/>
    <e v="#N/A"/>
    <e v="#N/A"/>
    <e v="#N/A"/>
    <e v="#N/A"/>
    <m/>
    <e v="#N/A"/>
    <n v="0"/>
  </r>
  <r>
    <n v="202425064"/>
    <x v="0"/>
    <x v="0"/>
    <x v="0"/>
    <e v="#N/A"/>
    <e v="#N/A"/>
    <e v="#N/A"/>
    <e v="#N/A"/>
    <m/>
    <e v="#N/A"/>
    <n v="0"/>
  </r>
  <r>
    <n v="202425065"/>
    <x v="0"/>
    <x v="0"/>
    <x v="0"/>
    <e v="#N/A"/>
    <e v="#N/A"/>
    <e v="#N/A"/>
    <e v="#N/A"/>
    <m/>
    <e v="#N/A"/>
    <n v="0"/>
  </r>
  <r>
    <n v="202425066"/>
    <x v="0"/>
    <x v="0"/>
    <x v="0"/>
    <e v="#N/A"/>
    <e v="#N/A"/>
    <e v="#N/A"/>
    <e v="#N/A"/>
    <m/>
    <e v="#N/A"/>
    <n v="0"/>
  </r>
  <r>
    <n v="202425067"/>
    <x v="0"/>
    <x v="0"/>
    <x v="0"/>
    <e v="#N/A"/>
    <e v="#N/A"/>
    <e v="#N/A"/>
    <e v="#N/A"/>
    <m/>
    <e v="#N/A"/>
    <n v="0"/>
  </r>
  <r>
    <n v="202425068"/>
    <x v="0"/>
    <x v="0"/>
    <x v="0"/>
    <e v="#N/A"/>
    <e v="#N/A"/>
    <e v="#N/A"/>
    <e v="#N/A"/>
    <m/>
    <e v="#N/A"/>
    <n v="0"/>
  </r>
  <r>
    <n v="202425069"/>
    <x v="0"/>
    <x v="0"/>
    <x v="0"/>
    <e v="#N/A"/>
    <e v="#N/A"/>
    <e v="#N/A"/>
    <e v="#N/A"/>
    <m/>
    <e v="#N/A"/>
    <n v="0"/>
  </r>
  <r>
    <n v="202425070"/>
    <x v="0"/>
    <x v="0"/>
    <x v="0"/>
    <e v="#N/A"/>
    <e v="#N/A"/>
    <e v="#N/A"/>
    <e v="#N/A"/>
    <m/>
    <e v="#N/A"/>
    <n v="0"/>
  </r>
  <r>
    <n v="202425071"/>
    <x v="0"/>
    <x v="0"/>
    <x v="0"/>
    <e v="#N/A"/>
    <e v="#N/A"/>
    <e v="#N/A"/>
    <e v="#N/A"/>
    <m/>
    <e v="#N/A"/>
    <n v="0"/>
  </r>
  <r>
    <n v="202425072"/>
    <x v="0"/>
    <x v="0"/>
    <x v="0"/>
    <e v="#N/A"/>
    <e v="#N/A"/>
    <e v="#N/A"/>
    <e v="#N/A"/>
    <m/>
    <e v="#N/A"/>
    <n v="0"/>
  </r>
  <r>
    <n v="202425073"/>
    <x v="0"/>
    <x v="0"/>
    <x v="0"/>
    <e v="#N/A"/>
    <e v="#N/A"/>
    <e v="#N/A"/>
    <e v="#N/A"/>
    <m/>
    <e v="#N/A"/>
    <n v="0"/>
  </r>
  <r>
    <n v="202425074"/>
    <x v="0"/>
    <x v="0"/>
    <x v="0"/>
    <e v="#N/A"/>
    <e v="#N/A"/>
    <e v="#N/A"/>
    <e v="#N/A"/>
    <m/>
    <e v="#N/A"/>
    <n v="0"/>
  </r>
  <r>
    <n v="202425075"/>
    <x v="0"/>
    <x v="0"/>
    <x v="0"/>
    <e v="#N/A"/>
    <e v="#N/A"/>
    <e v="#N/A"/>
    <e v="#N/A"/>
    <m/>
    <e v="#N/A"/>
    <n v="0"/>
  </r>
  <r>
    <n v="202425076"/>
    <x v="0"/>
    <x v="0"/>
    <x v="0"/>
    <e v="#N/A"/>
    <e v="#N/A"/>
    <e v="#N/A"/>
    <e v="#N/A"/>
    <m/>
    <e v="#N/A"/>
    <n v="0"/>
  </r>
  <r>
    <n v="202425077"/>
    <x v="0"/>
    <x v="0"/>
    <x v="0"/>
    <e v="#N/A"/>
    <e v="#N/A"/>
    <e v="#N/A"/>
    <e v="#N/A"/>
    <m/>
    <e v="#N/A"/>
    <n v="0"/>
  </r>
  <r>
    <n v="202425078"/>
    <x v="0"/>
    <x v="0"/>
    <x v="0"/>
    <e v="#N/A"/>
    <e v="#N/A"/>
    <e v="#N/A"/>
    <e v="#N/A"/>
    <m/>
    <e v="#N/A"/>
    <n v="0"/>
  </r>
  <r>
    <n v="202425079"/>
    <x v="0"/>
    <x v="0"/>
    <x v="0"/>
    <e v="#N/A"/>
    <e v="#N/A"/>
    <e v="#N/A"/>
    <e v="#N/A"/>
    <m/>
    <e v="#N/A"/>
    <n v="0"/>
  </r>
  <r>
    <n v="202425080"/>
    <x v="0"/>
    <x v="0"/>
    <x v="0"/>
    <e v="#N/A"/>
    <e v="#N/A"/>
    <e v="#N/A"/>
    <e v="#N/A"/>
    <m/>
    <e v="#N/A"/>
    <n v="0"/>
  </r>
  <r>
    <n v="202425081"/>
    <x v="0"/>
    <x v="0"/>
    <x v="0"/>
    <e v="#N/A"/>
    <e v="#N/A"/>
    <e v="#N/A"/>
    <e v="#N/A"/>
    <m/>
    <e v="#N/A"/>
    <n v="0"/>
  </r>
  <r>
    <n v="202425082"/>
    <x v="0"/>
    <x v="0"/>
    <x v="0"/>
    <e v="#N/A"/>
    <e v="#N/A"/>
    <e v="#N/A"/>
    <e v="#N/A"/>
    <m/>
    <e v="#N/A"/>
    <n v="0"/>
  </r>
  <r>
    <n v="202425083"/>
    <x v="0"/>
    <x v="0"/>
    <x v="0"/>
    <e v="#N/A"/>
    <e v="#N/A"/>
    <e v="#N/A"/>
    <e v="#N/A"/>
    <m/>
    <e v="#N/A"/>
    <n v="0"/>
  </r>
  <r>
    <n v="202425084"/>
    <x v="0"/>
    <x v="0"/>
    <x v="0"/>
    <e v="#N/A"/>
    <e v="#N/A"/>
    <e v="#N/A"/>
    <e v="#N/A"/>
    <m/>
    <e v="#N/A"/>
    <n v="0"/>
  </r>
  <r>
    <n v="202425085"/>
    <x v="0"/>
    <x v="0"/>
    <x v="0"/>
    <e v="#N/A"/>
    <e v="#N/A"/>
    <e v="#N/A"/>
    <e v="#N/A"/>
    <m/>
    <e v="#N/A"/>
    <n v="0"/>
  </r>
  <r>
    <n v="202425086"/>
    <x v="0"/>
    <x v="0"/>
    <x v="0"/>
    <e v="#N/A"/>
    <e v="#N/A"/>
    <e v="#N/A"/>
    <e v="#N/A"/>
    <m/>
    <e v="#N/A"/>
    <n v="0"/>
  </r>
  <r>
    <n v="202425087"/>
    <x v="0"/>
    <x v="0"/>
    <x v="0"/>
    <e v="#N/A"/>
    <e v="#N/A"/>
    <e v="#N/A"/>
    <e v="#N/A"/>
    <m/>
    <e v="#N/A"/>
    <n v="0"/>
  </r>
  <r>
    <n v="202425088"/>
    <x v="0"/>
    <x v="0"/>
    <x v="0"/>
    <e v="#N/A"/>
    <e v="#N/A"/>
    <e v="#N/A"/>
    <e v="#N/A"/>
    <m/>
    <e v="#N/A"/>
    <n v="0"/>
  </r>
  <r>
    <n v="202425089"/>
    <x v="0"/>
    <x v="0"/>
    <x v="0"/>
    <e v="#N/A"/>
    <e v="#N/A"/>
    <e v="#N/A"/>
    <e v="#N/A"/>
    <m/>
    <e v="#N/A"/>
    <n v="0"/>
  </r>
  <r>
    <n v="202425090"/>
    <x v="0"/>
    <x v="0"/>
    <x v="0"/>
    <e v="#N/A"/>
    <e v="#N/A"/>
    <e v="#N/A"/>
    <e v="#N/A"/>
    <m/>
    <e v="#N/A"/>
    <n v="0"/>
  </r>
  <r>
    <n v="202425091"/>
    <x v="0"/>
    <x v="0"/>
    <x v="0"/>
    <e v="#N/A"/>
    <e v="#N/A"/>
    <e v="#N/A"/>
    <e v="#N/A"/>
    <m/>
    <e v="#N/A"/>
    <n v="0"/>
  </r>
  <r>
    <n v="202425092"/>
    <x v="0"/>
    <x v="0"/>
    <x v="0"/>
    <e v="#N/A"/>
    <e v="#N/A"/>
    <e v="#N/A"/>
    <e v="#N/A"/>
    <m/>
    <e v="#N/A"/>
    <n v="0"/>
  </r>
  <r>
    <n v="202425093"/>
    <x v="0"/>
    <x v="0"/>
    <x v="0"/>
    <e v="#N/A"/>
    <e v="#N/A"/>
    <e v="#N/A"/>
    <e v="#N/A"/>
    <m/>
    <e v="#N/A"/>
    <n v="0"/>
  </r>
  <r>
    <n v="202425094"/>
    <x v="0"/>
    <x v="0"/>
    <x v="0"/>
    <e v="#N/A"/>
    <e v="#N/A"/>
    <e v="#N/A"/>
    <e v="#N/A"/>
    <m/>
    <e v="#N/A"/>
    <n v="0"/>
  </r>
  <r>
    <n v="202425095"/>
    <x v="0"/>
    <x v="0"/>
    <x v="0"/>
    <e v="#N/A"/>
    <e v="#N/A"/>
    <e v="#N/A"/>
    <e v="#N/A"/>
    <m/>
    <e v="#N/A"/>
    <n v="0"/>
  </r>
  <r>
    <n v="202425096"/>
    <x v="0"/>
    <x v="0"/>
    <x v="0"/>
    <e v="#N/A"/>
    <e v="#N/A"/>
    <e v="#N/A"/>
    <e v="#N/A"/>
    <m/>
    <e v="#N/A"/>
    <n v="0"/>
  </r>
  <r>
    <n v="202425097"/>
    <x v="0"/>
    <x v="0"/>
    <x v="0"/>
    <e v="#N/A"/>
    <e v="#N/A"/>
    <e v="#N/A"/>
    <e v="#N/A"/>
    <m/>
    <e v="#N/A"/>
    <n v="0"/>
  </r>
  <r>
    <n v="202425098"/>
    <x v="0"/>
    <x v="0"/>
    <x v="0"/>
    <e v="#N/A"/>
    <e v="#N/A"/>
    <e v="#N/A"/>
    <e v="#N/A"/>
    <m/>
    <e v="#N/A"/>
    <n v="0"/>
  </r>
  <r>
    <n v="202425099"/>
    <x v="0"/>
    <x v="0"/>
    <x v="0"/>
    <e v="#N/A"/>
    <e v="#N/A"/>
    <e v="#N/A"/>
    <e v="#N/A"/>
    <m/>
    <e v="#N/A"/>
    <n v="0"/>
  </r>
  <r>
    <n v="202425100"/>
    <x v="0"/>
    <x v="0"/>
    <x v="0"/>
    <e v="#N/A"/>
    <e v="#N/A"/>
    <e v="#N/A"/>
    <e v="#N/A"/>
    <m/>
    <e v="#N/A"/>
    <n v="0"/>
  </r>
  <r>
    <n v="202425101"/>
    <x v="0"/>
    <x v="0"/>
    <x v="0"/>
    <e v="#N/A"/>
    <e v="#N/A"/>
    <e v="#N/A"/>
    <e v="#N/A"/>
    <m/>
    <e v="#N/A"/>
    <n v="0"/>
  </r>
  <r>
    <n v="202425102"/>
    <x v="0"/>
    <x v="0"/>
    <x v="0"/>
    <e v="#N/A"/>
    <e v="#N/A"/>
    <e v="#N/A"/>
    <e v="#N/A"/>
    <m/>
    <e v="#N/A"/>
    <n v="0"/>
  </r>
  <r>
    <n v="202425103"/>
    <x v="0"/>
    <x v="0"/>
    <x v="0"/>
    <e v="#N/A"/>
    <e v="#N/A"/>
    <e v="#N/A"/>
    <e v="#N/A"/>
    <m/>
    <e v="#N/A"/>
    <n v="0"/>
  </r>
  <r>
    <n v="202425104"/>
    <x v="0"/>
    <x v="0"/>
    <x v="0"/>
    <e v="#N/A"/>
    <e v="#N/A"/>
    <e v="#N/A"/>
    <e v="#N/A"/>
    <m/>
    <e v="#N/A"/>
    <n v="0"/>
  </r>
  <r>
    <n v="202425105"/>
    <x v="0"/>
    <x v="0"/>
    <x v="0"/>
    <e v="#N/A"/>
    <e v="#N/A"/>
    <e v="#N/A"/>
    <e v="#N/A"/>
    <m/>
    <e v="#N/A"/>
    <n v="0"/>
  </r>
  <r>
    <n v="202425106"/>
    <x v="0"/>
    <x v="0"/>
    <x v="0"/>
    <e v="#N/A"/>
    <e v="#N/A"/>
    <e v="#N/A"/>
    <e v="#N/A"/>
    <m/>
    <e v="#N/A"/>
    <n v="0"/>
  </r>
  <r>
    <n v="202425107"/>
    <x v="0"/>
    <x v="0"/>
    <x v="0"/>
    <e v="#N/A"/>
    <e v="#N/A"/>
    <e v="#N/A"/>
    <e v="#N/A"/>
    <m/>
    <e v="#N/A"/>
    <n v="0"/>
  </r>
  <r>
    <n v="202425108"/>
    <x v="0"/>
    <x v="0"/>
    <x v="0"/>
    <e v="#N/A"/>
    <e v="#N/A"/>
    <e v="#N/A"/>
    <e v="#N/A"/>
    <m/>
    <e v="#N/A"/>
    <n v="0"/>
  </r>
  <r>
    <n v="202425109"/>
    <x v="0"/>
    <x v="0"/>
    <x v="0"/>
    <e v="#N/A"/>
    <e v="#N/A"/>
    <e v="#N/A"/>
    <e v="#N/A"/>
    <m/>
    <e v="#N/A"/>
    <n v="0"/>
  </r>
  <r>
    <n v="202425110"/>
    <x v="0"/>
    <x v="0"/>
    <x v="0"/>
    <e v="#N/A"/>
    <e v="#N/A"/>
    <e v="#N/A"/>
    <e v="#N/A"/>
    <m/>
    <e v="#N/A"/>
    <n v="0"/>
  </r>
  <r>
    <n v="202425111"/>
    <x v="0"/>
    <x v="0"/>
    <x v="0"/>
    <e v="#N/A"/>
    <e v="#N/A"/>
    <e v="#N/A"/>
    <e v="#N/A"/>
    <m/>
    <e v="#N/A"/>
    <n v="0"/>
  </r>
  <r>
    <n v="202425112"/>
    <x v="0"/>
    <x v="0"/>
    <x v="0"/>
    <e v="#N/A"/>
    <e v="#N/A"/>
    <e v="#N/A"/>
    <e v="#N/A"/>
    <m/>
    <e v="#N/A"/>
    <n v="0"/>
  </r>
  <r>
    <n v="202425113"/>
    <x v="0"/>
    <x v="0"/>
    <x v="0"/>
    <e v="#N/A"/>
    <e v="#N/A"/>
    <e v="#N/A"/>
    <e v="#N/A"/>
    <m/>
    <e v="#N/A"/>
    <n v="0"/>
  </r>
  <r>
    <n v="202425114"/>
    <x v="0"/>
    <x v="0"/>
    <x v="0"/>
    <e v="#N/A"/>
    <e v="#N/A"/>
    <e v="#N/A"/>
    <e v="#N/A"/>
    <m/>
    <e v="#N/A"/>
    <n v="0"/>
  </r>
  <r>
    <n v="202425115"/>
    <x v="0"/>
    <x v="0"/>
    <x v="0"/>
    <e v="#N/A"/>
    <e v="#N/A"/>
    <e v="#N/A"/>
    <e v="#N/A"/>
    <m/>
    <e v="#N/A"/>
    <n v="0"/>
  </r>
  <r>
    <n v="202425116"/>
    <x v="0"/>
    <x v="0"/>
    <x v="0"/>
    <e v="#N/A"/>
    <e v="#N/A"/>
    <e v="#N/A"/>
    <e v="#N/A"/>
    <m/>
    <e v="#N/A"/>
    <n v="0"/>
  </r>
  <r>
    <n v="202425117"/>
    <x v="0"/>
    <x v="0"/>
    <x v="0"/>
    <e v="#N/A"/>
    <e v="#N/A"/>
    <e v="#N/A"/>
    <e v="#N/A"/>
    <m/>
    <e v="#N/A"/>
    <n v="0"/>
  </r>
  <r>
    <n v="202425118"/>
    <x v="0"/>
    <x v="0"/>
    <x v="0"/>
    <e v="#N/A"/>
    <e v="#N/A"/>
    <e v="#N/A"/>
    <e v="#N/A"/>
    <m/>
    <e v="#N/A"/>
    <n v="0"/>
  </r>
  <r>
    <n v="202425119"/>
    <x v="0"/>
    <x v="0"/>
    <x v="0"/>
    <e v="#N/A"/>
    <e v="#N/A"/>
    <e v="#N/A"/>
    <e v="#N/A"/>
    <m/>
    <e v="#N/A"/>
    <n v="0"/>
  </r>
  <r>
    <n v="202425120"/>
    <x v="0"/>
    <x v="0"/>
    <x v="0"/>
    <e v="#N/A"/>
    <e v="#N/A"/>
    <e v="#N/A"/>
    <e v="#N/A"/>
    <m/>
    <e v="#N/A"/>
    <n v="0"/>
  </r>
  <r>
    <n v="202425121"/>
    <x v="0"/>
    <x v="0"/>
    <x v="0"/>
    <e v="#N/A"/>
    <e v="#N/A"/>
    <e v="#N/A"/>
    <e v="#N/A"/>
    <m/>
    <e v="#N/A"/>
    <n v="0"/>
  </r>
  <r>
    <n v="202425122"/>
    <x v="0"/>
    <x v="0"/>
    <x v="0"/>
    <e v="#N/A"/>
    <e v="#N/A"/>
    <e v="#N/A"/>
    <e v="#N/A"/>
    <m/>
    <e v="#N/A"/>
    <n v="0"/>
  </r>
  <r>
    <n v="202425123"/>
    <x v="0"/>
    <x v="0"/>
    <x v="0"/>
    <e v="#N/A"/>
    <e v="#N/A"/>
    <e v="#N/A"/>
    <e v="#N/A"/>
    <m/>
    <e v="#N/A"/>
    <n v="0"/>
  </r>
  <r>
    <n v="202425124"/>
    <x v="0"/>
    <x v="0"/>
    <x v="0"/>
    <e v="#N/A"/>
    <e v="#N/A"/>
    <e v="#N/A"/>
    <e v="#N/A"/>
    <m/>
    <e v="#N/A"/>
    <n v="0"/>
  </r>
  <r>
    <n v="202425125"/>
    <x v="0"/>
    <x v="0"/>
    <x v="0"/>
    <e v="#N/A"/>
    <e v="#N/A"/>
    <e v="#N/A"/>
    <e v="#N/A"/>
    <m/>
    <e v="#N/A"/>
    <n v="0"/>
  </r>
  <r>
    <n v="202425126"/>
    <x v="0"/>
    <x v="0"/>
    <x v="0"/>
    <e v="#N/A"/>
    <e v="#N/A"/>
    <e v="#N/A"/>
    <e v="#N/A"/>
    <m/>
    <e v="#N/A"/>
    <n v="0"/>
  </r>
  <r>
    <n v="202425127"/>
    <x v="0"/>
    <x v="0"/>
    <x v="0"/>
    <e v="#N/A"/>
    <e v="#N/A"/>
    <e v="#N/A"/>
    <e v="#N/A"/>
    <m/>
    <e v="#N/A"/>
    <n v="0"/>
  </r>
  <r>
    <n v="202425128"/>
    <x v="0"/>
    <x v="0"/>
    <x v="0"/>
    <e v="#N/A"/>
    <e v="#N/A"/>
    <e v="#N/A"/>
    <e v="#N/A"/>
    <m/>
    <e v="#N/A"/>
    <n v="0"/>
  </r>
  <r>
    <n v="202425129"/>
    <x v="0"/>
    <x v="0"/>
    <x v="0"/>
    <e v="#N/A"/>
    <e v="#N/A"/>
    <e v="#N/A"/>
    <e v="#N/A"/>
    <m/>
    <e v="#N/A"/>
    <n v="0"/>
  </r>
  <r>
    <n v="202425130"/>
    <x v="0"/>
    <x v="0"/>
    <x v="0"/>
    <e v="#N/A"/>
    <e v="#N/A"/>
    <e v="#N/A"/>
    <e v="#N/A"/>
    <m/>
    <e v="#N/A"/>
    <n v="0"/>
  </r>
  <r>
    <n v="202425131"/>
    <x v="0"/>
    <x v="0"/>
    <x v="0"/>
    <e v="#N/A"/>
    <e v="#N/A"/>
    <e v="#N/A"/>
    <e v="#N/A"/>
    <m/>
    <e v="#N/A"/>
    <n v="0"/>
  </r>
  <r>
    <n v="202425132"/>
    <x v="0"/>
    <x v="0"/>
    <x v="0"/>
    <e v="#N/A"/>
    <e v="#N/A"/>
    <e v="#N/A"/>
    <e v="#N/A"/>
    <m/>
    <e v="#N/A"/>
    <n v="0"/>
  </r>
  <r>
    <n v="202425133"/>
    <x v="0"/>
    <x v="0"/>
    <x v="0"/>
    <e v="#N/A"/>
    <e v="#N/A"/>
    <e v="#N/A"/>
    <e v="#N/A"/>
    <m/>
    <e v="#N/A"/>
    <n v="0"/>
  </r>
  <r>
    <n v="202425134"/>
    <x v="0"/>
    <x v="0"/>
    <x v="0"/>
    <e v="#N/A"/>
    <e v="#N/A"/>
    <e v="#N/A"/>
    <e v="#N/A"/>
    <m/>
    <e v="#N/A"/>
    <n v="0"/>
  </r>
  <r>
    <n v="202425135"/>
    <x v="0"/>
    <x v="0"/>
    <x v="0"/>
    <e v="#N/A"/>
    <e v="#N/A"/>
    <e v="#N/A"/>
    <e v="#N/A"/>
    <m/>
    <e v="#N/A"/>
    <n v="0"/>
  </r>
  <r>
    <n v="202425136"/>
    <x v="0"/>
    <x v="0"/>
    <x v="0"/>
    <e v="#N/A"/>
    <e v="#N/A"/>
    <e v="#N/A"/>
    <e v="#N/A"/>
    <m/>
    <e v="#N/A"/>
    <n v="0"/>
  </r>
  <r>
    <n v="202425137"/>
    <x v="0"/>
    <x v="0"/>
    <x v="0"/>
    <e v="#N/A"/>
    <e v="#N/A"/>
    <e v="#N/A"/>
    <e v="#N/A"/>
    <m/>
    <e v="#N/A"/>
    <n v="0"/>
  </r>
  <r>
    <n v="202425138"/>
    <x v="0"/>
    <x v="0"/>
    <x v="0"/>
    <e v="#N/A"/>
    <e v="#N/A"/>
    <e v="#N/A"/>
    <e v="#N/A"/>
    <m/>
    <e v="#N/A"/>
    <n v="0"/>
  </r>
  <r>
    <n v="202425139"/>
    <x v="0"/>
    <x v="0"/>
    <x v="0"/>
    <e v="#N/A"/>
    <e v="#N/A"/>
    <e v="#N/A"/>
    <e v="#N/A"/>
    <m/>
    <e v="#N/A"/>
    <n v="0"/>
  </r>
  <r>
    <n v="202425140"/>
    <x v="0"/>
    <x v="0"/>
    <x v="0"/>
    <e v="#N/A"/>
    <e v="#N/A"/>
    <e v="#N/A"/>
    <e v="#N/A"/>
    <m/>
    <e v="#N/A"/>
    <n v="0"/>
  </r>
  <r>
    <n v="202425141"/>
    <x v="0"/>
    <x v="0"/>
    <x v="0"/>
    <e v="#N/A"/>
    <e v="#N/A"/>
    <e v="#N/A"/>
    <e v="#N/A"/>
    <m/>
    <e v="#N/A"/>
    <n v="0"/>
  </r>
  <r>
    <n v="202425142"/>
    <x v="0"/>
    <x v="0"/>
    <x v="0"/>
    <e v="#N/A"/>
    <e v="#N/A"/>
    <e v="#N/A"/>
    <e v="#N/A"/>
    <m/>
    <e v="#N/A"/>
    <n v="0"/>
  </r>
  <r>
    <n v="202425143"/>
    <x v="0"/>
    <x v="0"/>
    <x v="0"/>
    <e v="#N/A"/>
    <e v="#N/A"/>
    <e v="#N/A"/>
    <e v="#N/A"/>
    <m/>
    <e v="#N/A"/>
    <n v="0"/>
  </r>
  <r>
    <n v="202425144"/>
    <x v="0"/>
    <x v="0"/>
    <x v="0"/>
    <e v="#N/A"/>
    <e v="#N/A"/>
    <e v="#N/A"/>
    <e v="#N/A"/>
    <m/>
    <e v="#N/A"/>
    <n v="0"/>
  </r>
  <r>
    <n v="202425145"/>
    <x v="0"/>
    <x v="0"/>
    <x v="0"/>
    <e v="#N/A"/>
    <e v="#N/A"/>
    <e v="#N/A"/>
    <e v="#N/A"/>
    <m/>
    <e v="#N/A"/>
    <n v="0"/>
  </r>
  <r>
    <n v="202425146"/>
    <x v="0"/>
    <x v="0"/>
    <x v="0"/>
    <e v="#N/A"/>
    <e v="#N/A"/>
    <e v="#N/A"/>
    <e v="#N/A"/>
    <m/>
    <e v="#N/A"/>
    <n v="0"/>
  </r>
  <r>
    <n v="202425147"/>
    <x v="0"/>
    <x v="0"/>
    <x v="0"/>
    <e v="#N/A"/>
    <e v="#N/A"/>
    <e v="#N/A"/>
    <e v="#N/A"/>
    <m/>
    <e v="#N/A"/>
    <n v="0"/>
  </r>
  <r>
    <n v="202425148"/>
    <x v="0"/>
    <x v="0"/>
    <x v="0"/>
    <e v="#N/A"/>
    <e v="#N/A"/>
    <e v="#N/A"/>
    <e v="#N/A"/>
    <m/>
    <e v="#N/A"/>
    <n v="0"/>
  </r>
  <r>
    <n v="202425149"/>
    <x v="0"/>
    <x v="0"/>
    <x v="0"/>
    <e v="#N/A"/>
    <e v="#N/A"/>
    <e v="#N/A"/>
    <e v="#N/A"/>
    <m/>
    <e v="#N/A"/>
    <n v="0"/>
  </r>
  <r>
    <n v="202425150"/>
    <x v="0"/>
    <x v="0"/>
    <x v="0"/>
    <e v="#N/A"/>
    <e v="#N/A"/>
    <e v="#N/A"/>
    <e v="#N/A"/>
    <m/>
    <e v="#N/A"/>
    <n v="0"/>
  </r>
  <r>
    <n v="202425151"/>
    <x v="0"/>
    <x v="0"/>
    <x v="0"/>
    <e v="#N/A"/>
    <e v="#N/A"/>
    <e v="#N/A"/>
    <e v="#N/A"/>
    <m/>
    <e v="#N/A"/>
    <n v="0"/>
  </r>
  <r>
    <n v="202425152"/>
    <x v="0"/>
    <x v="0"/>
    <x v="0"/>
    <e v="#N/A"/>
    <e v="#N/A"/>
    <e v="#N/A"/>
    <e v="#N/A"/>
    <m/>
    <e v="#N/A"/>
    <n v="0"/>
  </r>
  <r>
    <n v="202425153"/>
    <x v="0"/>
    <x v="0"/>
    <x v="0"/>
    <e v="#N/A"/>
    <e v="#N/A"/>
    <e v="#N/A"/>
    <e v="#N/A"/>
    <m/>
    <e v="#N/A"/>
    <n v="0"/>
  </r>
  <r>
    <n v="202425154"/>
    <x v="0"/>
    <x v="0"/>
    <x v="0"/>
    <e v="#N/A"/>
    <e v="#N/A"/>
    <e v="#N/A"/>
    <e v="#N/A"/>
    <m/>
    <e v="#N/A"/>
    <n v="0"/>
  </r>
  <r>
    <n v="202425155"/>
    <x v="0"/>
    <x v="0"/>
    <x v="0"/>
    <e v="#N/A"/>
    <e v="#N/A"/>
    <e v="#N/A"/>
    <e v="#N/A"/>
    <m/>
    <e v="#N/A"/>
    <n v="0"/>
  </r>
  <r>
    <n v="202425156"/>
    <x v="0"/>
    <x v="0"/>
    <x v="0"/>
    <e v="#N/A"/>
    <e v="#N/A"/>
    <e v="#N/A"/>
    <e v="#N/A"/>
    <m/>
    <e v="#N/A"/>
    <n v="0"/>
  </r>
  <r>
    <n v="202425157"/>
    <x v="0"/>
    <x v="0"/>
    <x v="0"/>
    <e v="#N/A"/>
    <e v="#N/A"/>
    <e v="#N/A"/>
    <e v="#N/A"/>
    <m/>
    <e v="#N/A"/>
    <n v="0"/>
  </r>
  <r>
    <n v="202425158"/>
    <x v="0"/>
    <x v="0"/>
    <x v="0"/>
    <e v="#N/A"/>
    <e v="#N/A"/>
    <e v="#N/A"/>
    <e v="#N/A"/>
    <m/>
    <e v="#N/A"/>
    <n v="0"/>
  </r>
  <r>
    <n v="202425159"/>
    <x v="0"/>
    <x v="0"/>
    <x v="0"/>
    <e v="#N/A"/>
    <e v="#N/A"/>
    <e v="#N/A"/>
    <e v="#N/A"/>
    <m/>
    <e v="#N/A"/>
    <n v="0"/>
  </r>
  <r>
    <n v="202425160"/>
    <x v="0"/>
    <x v="0"/>
    <x v="0"/>
    <e v="#N/A"/>
    <e v="#N/A"/>
    <e v="#N/A"/>
    <e v="#N/A"/>
    <m/>
    <e v="#N/A"/>
    <n v="0"/>
  </r>
  <r>
    <n v="202425161"/>
    <x v="0"/>
    <x v="0"/>
    <x v="0"/>
    <e v="#N/A"/>
    <e v="#N/A"/>
    <e v="#N/A"/>
    <e v="#N/A"/>
    <m/>
    <e v="#N/A"/>
    <n v="0"/>
  </r>
  <r>
    <n v="202425162"/>
    <x v="0"/>
    <x v="0"/>
    <x v="0"/>
    <e v="#N/A"/>
    <e v="#N/A"/>
    <e v="#N/A"/>
    <e v="#N/A"/>
    <m/>
    <e v="#N/A"/>
    <n v="0"/>
  </r>
  <r>
    <n v="202425163"/>
    <x v="0"/>
    <x v="0"/>
    <x v="0"/>
    <e v="#N/A"/>
    <e v="#N/A"/>
    <e v="#N/A"/>
    <e v="#N/A"/>
    <m/>
    <e v="#N/A"/>
    <n v="0"/>
  </r>
  <r>
    <n v="202425164"/>
    <x v="0"/>
    <x v="0"/>
    <x v="0"/>
    <e v="#N/A"/>
    <e v="#N/A"/>
    <e v="#N/A"/>
    <e v="#N/A"/>
    <m/>
    <e v="#N/A"/>
    <n v="0"/>
  </r>
  <r>
    <n v="202425165"/>
    <x v="0"/>
    <x v="0"/>
    <x v="0"/>
    <e v="#N/A"/>
    <e v="#N/A"/>
    <e v="#N/A"/>
    <e v="#N/A"/>
    <m/>
    <e v="#N/A"/>
    <n v="0"/>
  </r>
  <r>
    <n v="202425166"/>
    <x v="0"/>
    <x v="0"/>
    <x v="0"/>
    <e v="#N/A"/>
    <e v="#N/A"/>
    <e v="#N/A"/>
    <e v="#N/A"/>
    <m/>
    <e v="#N/A"/>
    <n v="0"/>
  </r>
  <r>
    <n v="202425167"/>
    <x v="0"/>
    <x v="0"/>
    <x v="0"/>
    <e v="#N/A"/>
    <e v="#N/A"/>
    <e v="#N/A"/>
    <e v="#N/A"/>
    <m/>
    <e v="#N/A"/>
    <n v="0"/>
  </r>
  <r>
    <n v="202425168"/>
    <x v="0"/>
    <x v="0"/>
    <x v="0"/>
    <e v="#N/A"/>
    <e v="#N/A"/>
    <e v="#N/A"/>
    <e v="#N/A"/>
    <m/>
    <e v="#N/A"/>
    <n v="0"/>
  </r>
  <r>
    <n v="202425169"/>
    <x v="0"/>
    <x v="0"/>
    <x v="0"/>
    <e v="#N/A"/>
    <e v="#N/A"/>
    <e v="#N/A"/>
    <e v="#N/A"/>
    <m/>
    <e v="#N/A"/>
    <n v="0"/>
  </r>
  <r>
    <n v="202425170"/>
    <x v="0"/>
    <x v="0"/>
    <x v="0"/>
    <e v="#N/A"/>
    <e v="#N/A"/>
    <e v="#N/A"/>
    <e v="#N/A"/>
    <m/>
    <e v="#N/A"/>
    <n v="0"/>
  </r>
  <r>
    <n v="202425171"/>
    <x v="0"/>
    <x v="0"/>
    <x v="0"/>
    <e v="#N/A"/>
    <e v="#N/A"/>
    <e v="#N/A"/>
    <e v="#N/A"/>
    <m/>
    <e v="#N/A"/>
    <n v="0"/>
  </r>
  <r>
    <n v="202425172"/>
    <x v="0"/>
    <x v="0"/>
    <x v="0"/>
    <e v="#N/A"/>
    <e v="#N/A"/>
    <e v="#N/A"/>
    <e v="#N/A"/>
    <m/>
    <e v="#N/A"/>
    <n v="0"/>
  </r>
  <r>
    <n v="202425173"/>
    <x v="0"/>
    <x v="0"/>
    <x v="0"/>
    <e v="#N/A"/>
    <e v="#N/A"/>
    <e v="#N/A"/>
    <e v="#N/A"/>
    <m/>
    <e v="#N/A"/>
    <n v="0"/>
  </r>
  <r>
    <n v="202425174"/>
    <x v="0"/>
    <x v="0"/>
    <x v="0"/>
    <e v="#N/A"/>
    <e v="#N/A"/>
    <e v="#N/A"/>
    <e v="#N/A"/>
    <m/>
    <e v="#N/A"/>
    <n v="0"/>
  </r>
  <r>
    <n v="202425175"/>
    <x v="0"/>
    <x v="0"/>
    <x v="0"/>
    <e v="#N/A"/>
    <e v="#N/A"/>
    <e v="#N/A"/>
    <e v="#N/A"/>
    <m/>
    <e v="#N/A"/>
    <n v="0"/>
  </r>
  <r>
    <n v="202425176"/>
    <x v="0"/>
    <x v="0"/>
    <x v="0"/>
    <e v="#N/A"/>
    <e v="#N/A"/>
    <e v="#N/A"/>
    <e v="#N/A"/>
    <m/>
    <e v="#N/A"/>
    <n v="0"/>
  </r>
  <r>
    <n v="202425177"/>
    <x v="0"/>
    <x v="0"/>
    <x v="0"/>
    <e v="#N/A"/>
    <e v="#N/A"/>
    <e v="#N/A"/>
    <e v="#N/A"/>
    <m/>
    <e v="#N/A"/>
    <n v="0"/>
  </r>
  <r>
    <n v="202425178"/>
    <x v="0"/>
    <x v="0"/>
    <x v="0"/>
    <e v="#N/A"/>
    <e v="#N/A"/>
    <e v="#N/A"/>
    <e v="#N/A"/>
    <m/>
    <e v="#N/A"/>
    <n v="0"/>
  </r>
  <r>
    <n v="202425179"/>
    <x v="0"/>
    <x v="0"/>
    <x v="0"/>
    <e v="#N/A"/>
    <e v="#N/A"/>
    <e v="#N/A"/>
    <e v="#N/A"/>
    <m/>
    <e v="#N/A"/>
    <n v="0"/>
  </r>
  <r>
    <n v="202425180"/>
    <x v="0"/>
    <x v="0"/>
    <x v="0"/>
    <e v="#N/A"/>
    <e v="#N/A"/>
    <e v="#N/A"/>
    <e v="#N/A"/>
    <m/>
    <e v="#N/A"/>
    <n v="0"/>
  </r>
  <r>
    <n v="202425181"/>
    <x v="0"/>
    <x v="0"/>
    <x v="0"/>
    <e v="#N/A"/>
    <e v="#N/A"/>
    <e v="#N/A"/>
    <e v="#N/A"/>
    <m/>
    <e v="#N/A"/>
    <n v="0"/>
  </r>
  <r>
    <n v="202425182"/>
    <x v="0"/>
    <x v="0"/>
    <x v="0"/>
    <e v="#N/A"/>
    <e v="#N/A"/>
    <e v="#N/A"/>
    <e v="#N/A"/>
    <m/>
    <e v="#N/A"/>
    <n v="0"/>
  </r>
  <r>
    <n v="202425183"/>
    <x v="0"/>
    <x v="0"/>
    <x v="0"/>
    <e v="#N/A"/>
    <e v="#N/A"/>
    <e v="#N/A"/>
    <e v="#N/A"/>
    <m/>
    <e v="#N/A"/>
    <n v="0"/>
  </r>
  <r>
    <n v="202425184"/>
    <x v="0"/>
    <x v="0"/>
    <x v="0"/>
    <e v="#N/A"/>
    <e v="#N/A"/>
    <e v="#N/A"/>
    <e v="#N/A"/>
    <m/>
    <e v="#N/A"/>
    <n v="0"/>
  </r>
  <r>
    <n v="202425185"/>
    <x v="0"/>
    <x v="0"/>
    <x v="0"/>
    <e v="#N/A"/>
    <e v="#N/A"/>
    <e v="#N/A"/>
    <e v="#N/A"/>
    <m/>
    <e v="#N/A"/>
    <n v="0"/>
  </r>
  <r>
    <n v="202425186"/>
    <x v="0"/>
    <x v="0"/>
    <x v="0"/>
    <e v="#N/A"/>
    <e v="#N/A"/>
    <e v="#N/A"/>
    <e v="#N/A"/>
    <m/>
    <e v="#N/A"/>
    <n v="0"/>
  </r>
  <r>
    <n v="202425187"/>
    <x v="0"/>
    <x v="0"/>
    <x v="0"/>
    <e v="#N/A"/>
    <e v="#N/A"/>
    <e v="#N/A"/>
    <e v="#N/A"/>
    <m/>
    <e v="#N/A"/>
    <n v="0"/>
  </r>
  <r>
    <n v="202425188"/>
    <x v="0"/>
    <x v="0"/>
    <x v="0"/>
    <e v="#N/A"/>
    <e v="#N/A"/>
    <e v="#N/A"/>
    <e v="#N/A"/>
    <m/>
    <e v="#N/A"/>
    <n v="0"/>
  </r>
  <r>
    <n v="202425189"/>
    <x v="0"/>
    <x v="0"/>
    <x v="0"/>
    <e v="#N/A"/>
    <e v="#N/A"/>
    <e v="#N/A"/>
    <e v="#N/A"/>
    <m/>
    <e v="#N/A"/>
    <n v="0"/>
  </r>
  <r>
    <n v="202425190"/>
    <x v="0"/>
    <x v="0"/>
    <x v="0"/>
    <e v="#N/A"/>
    <e v="#N/A"/>
    <e v="#N/A"/>
    <e v="#N/A"/>
    <m/>
    <e v="#N/A"/>
    <n v="0"/>
  </r>
  <r>
    <n v="202425191"/>
    <x v="0"/>
    <x v="0"/>
    <x v="0"/>
    <e v="#N/A"/>
    <e v="#N/A"/>
    <e v="#N/A"/>
    <e v="#N/A"/>
    <m/>
    <e v="#N/A"/>
    <n v="0"/>
  </r>
  <r>
    <n v="202425192"/>
    <x v="0"/>
    <x v="0"/>
    <x v="0"/>
    <e v="#N/A"/>
    <e v="#N/A"/>
    <e v="#N/A"/>
    <e v="#N/A"/>
    <m/>
    <e v="#N/A"/>
    <n v="0"/>
  </r>
  <r>
    <n v="202425193"/>
    <x v="0"/>
    <x v="0"/>
    <x v="0"/>
    <e v="#N/A"/>
    <e v="#N/A"/>
    <e v="#N/A"/>
    <e v="#N/A"/>
    <m/>
    <e v="#N/A"/>
    <n v="0"/>
  </r>
  <r>
    <n v="202425194"/>
    <x v="0"/>
    <x v="0"/>
    <x v="0"/>
    <e v="#N/A"/>
    <e v="#N/A"/>
    <e v="#N/A"/>
    <e v="#N/A"/>
    <m/>
    <e v="#N/A"/>
    <n v="0"/>
  </r>
  <r>
    <n v="202425195"/>
    <x v="0"/>
    <x v="0"/>
    <x v="0"/>
    <e v="#N/A"/>
    <e v="#N/A"/>
    <e v="#N/A"/>
    <e v="#N/A"/>
    <m/>
    <e v="#N/A"/>
    <n v="0"/>
  </r>
  <r>
    <n v="202425196"/>
    <x v="0"/>
    <x v="0"/>
    <x v="0"/>
    <e v="#N/A"/>
    <e v="#N/A"/>
    <e v="#N/A"/>
    <e v="#N/A"/>
    <m/>
    <e v="#N/A"/>
    <n v="0"/>
  </r>
  <r>
    <n v="202425197"/>
    <x v="0"/>
    <x v="0"/>
    <x v="0"/>
    <e v="#N/A"/>
    <e v="#N/A"/>
    <e v="#N/A"/>
    <e v="#N/A"/>
    <m/>
    <e v="#N/A"/>
    <n v="0"/>
  </r>
  <r>
    <n v="202425198"/>
    <x v="0"/>
    <x v="0"/>
    <x v="0"/>
    <e v="#N/A"/>
    <e v="#N/A"/>
    <e v="#N/A"/>
    <e v="#N/A"/>
    <m/>
    <e v="#N/A"/>
    <n v="0"/>
  </r>
  <r>
    <n v="202425199"/>
    <x v="0"/>
    <x v="0"/>
    <x v="0"/>
    <e v="#N/A"/>
    <e v="#N/A"/>
    <e v="#N/A"/>
    <e v="#N/A"/>
    <m/>
    <e v="#N/A"/>
    <n v="0"/>
  </r>
  <r>
    <n v="202425200"/>
    <x v="0"/>
    <x v="0"/>
    <x v="0"/>
    <e v="#N/A"/>
    <e v="#N/A"/>
    <e v="#N/A"/>
    <e v="#N/A"/>
    <m/>
    <e v="#N/A"/>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D27DD38-7AA1-4DD9-B0A1-E6BD9E6875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5" firstHeaderRow="0" firstDataRow="1" firstDataCol="1"/>
  <pivotFields count="13">
    <pivotField showAll="0"/>
    <pivotField showAll="0">
      <items count="6">
        <item m="1" x="1"/>
        <item m="1" x="2"/>
        <item m="1" x="3"/>
        <item m="1" x="4"/>
        <item x="0"/>
        <item t="default"/>
      </items>
    </pivotField>
    <pivotField axis="axisRow" showAll="0">
      <items count="5">
        <item m="1" x="1"/>
        <item m="1" x="3"/>
        <item m="1" x="2"/>
        <item x="0"/>
        <item t="default"/>
      </items>
    </pivotField>
    <pivotField axis="axisRow" showAll="0">
      <items count="5">
        <item m="1" x="2"/>
        <item m="1" x="1"/>
        <item m="1" x="3"/>
        <item sd="0" x="0"/>
        <item t="default"/>
      </items>
    </pivotField>
    <pivotField showAll="0"/>
    <pivotField showAll="0"/>
    <pivotField showAll="0"/>
    <pivotField showAll="0"/>
    <pivotField dataField="1" showAll="0"/>
    <pivotField dataField="1" showAll="0"/>
    <pivotField showAll="0"/>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items count="15">
        <item x="0"/>
        <item x="1"/>
        <item x="2"/>
        <item x="3"/>
        <item x="4"/>
        <item x="5"/>
        <item x="6"/>
        <item x="7"/>
        <item x="8"/>
        <item x="9"/>
        <item x="10"/>
        <item x="11"/>
        <item x="12"/>
        <item x="13"/>
        <item t="default"/>
      </items>
    </pivotField>
  </pivotFields>
  <rowFields count="3">
    <field x="3"/>
    <field x="2"/>
    <field x="11"/>
  </rowFields>
  <rowItems count="2">
    <i>
      <x v="3"/>
    </i>
    <i t="grand">
      <x/>
    </i>
  </rowItems>
  <colFields count="1">
    <field x="-2"/>
  </colFields>
  <colItems count="2">
    <i>
      <x/>
    </i>
    <i i="1">
      <x v="1"/>
    </i>
  </colItems>
  <dataFields count="2">
    <dataField name="Sum of Deposit" fld="8" baseField="0" baseItem="0"/>
    <dataField name="Min of Now Remaining" fld="9" subtotal="min" baseField="2"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as" xr10:uid="{2DA41919-E5F9-41BD-A83F-8EE0EFB0B0B8}" sourceName="Claas">
  <pivotTables>
    <pivotTable tabId="7" name="PivotTable2"/>
  </pivotTables>
  <data>
    <tabular pivotCacheId="2111548745">
      <items count="4">
        <i x="0" s="1"/>
        <i x="2" s="1" nd="1"/>
        <i x="1" s="1" nd="1"/>
        <i x="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aas" xr10:uid="{5C6B4B5C-0831-4FEC-8EF5-69BD54DDB70F}" cache="Slicer_Claas" caption="Claas"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044E2-5F89-446D-BB13-D425F1CE629B}">
  <sheetPr codeName="Sheet1"/>
  <dimension ref="A1:W102"/>
  <sheetViews>
    <sheetView tabSelected="1" zoomScale="90" zoomScaleNormal="90" workbookViewId="0">
      <pane xSplit="6" ySplit="1" topLeftCell="J2" activePane="bottomRight" state="frozen"/>
      <selection pane="topRight" activeCell="G1" sqref="G1"/>
      <selection pane="bottomLeft" activeCell="A2" sqref="A2"/>
      <selection pane="bottomRight"/>
    </sheetView>
  </sheetViews>
  <sheetFormatPr defaultRowHeight="15" x14ac:dyDescent="0.25"/>
  <cols>
    <col min="1" max="1" width="9.140625" style="115"/>
    <col min="2" max="2" width="38" style="114" bestFit="1" customWidth="1"/>
    <col min="3" max="3" width="7.7109375" style="115" bestFit="1" customWidth="1"/>
    <col min="4" max="4" width="13" style="116" bestFit="1" customWidth="1"/>
    <col min="5" max="5" width="10.140625" style="117" bestFit="1" customWidth="1"/>
    <col min="6" max="6" width="8.85546875" style="118" bestFit="1" customWidth="1"/>
    <col min="7" max="7" width="30.42578125" style="119" hidden="1" customWidth="1"/>
    <col min="8" max="8" width="22" style="120" hidden="1" customWidth="1"/>
    <col min="9" max="9" width="19" style="115" hidden="1" customWidth="1"/>
    <col min="10" max="10" width="17" style="3" bestFit="1" customWidth="1"/>
    <col min="11" max="11" width="15.85546875" style="3" bestFit="1" customWidth="1"/>
    <col min="12" max="12" width="16.85546875" style="3" bestFit="1" customWidth="1"/>
    <col min="13" max="13" width="17.28515625" style="2" bestFit="1" customWidth="1"/>
    <col min="14" max="14" width="22.5703125" bestFit="1" customWidth="1"/>
    <col min="16" max="16" width="6.42578125" bestFit="1" customWidth="1"/>
    <col min="17" max="17" width="13.140625" bestFit="1" customWidth="1"/>
    <col min="18" max="18" width="10.7109375" bestFit="1" customWidth="1"/>
    <col min="19" max="19" width="5.42578125" bestFit="1" customWidth="1"/>
    <col min="20" max="20" width="12" bestFit="1" customWidth="1"/>
    <col min="21" max="21" width="5.7109375" bestFit="1" customWidth="1"/>
    <col min="22" max="22" width="5.42578125" bestFit="1" customWidth="1"/>
  </cols>
  <sheetData>
    <row r="1" spans="1:23" s="85" customFormat="1" ht="21.95" customHeight="1" thickBot="1" x14ac:dyDescent="0.3">
      <c r="A1" s="38" t="s">
        <v>51</v>
      </c>
      <c r="B1" s="87" t="s">
        <v>56</v>
      </c>
      <c r="C1" s="39" t="s">
        <v>50</v>
      </c>
      <c r="D1" s="39" t="s">
        <v>32</v>
      </c>
      <c r="E1" s="87" t="s">
        <v>31</v>
      </c>
      <c r="F1" s="88" t="s">
        <v>53</v>
      </c>
      <c r="G1" s="89" t="s">
        <v>33</v>
      </c>
      <c r="H1" s="39" t="s">
        <v>54</v>
      </c>
      <c r="I1" s="39" t="s">
        <v>55</v>
      </c>
      <c r="J1" s="90" t="s">
        <v>52</v>
      </c>
      <c r="K1" s="90" t="s">
        <v>38</v>
      </c>
      <c r="L1" s="90" t="s">
        <v>49</v>
      </c>
      <c r="M1" s="90" t="s">
        <v>37</v>
      </c>
      <c r="N1" s="90" t="s">
        <v>48</v>
      </c>
      <c r="O1" s="85" t="s">
        <v>162</v>
      </c>
      <c r="P1" s="86"/>
    </row>
    <row r="2" spans="1:23" s="65" customFormat="1" ht="18" customHeight="1" thickBot="1" x14ac:dyDescent="0.3">
      <c r="A2" s="56">
        <v>1</v>
      </c>
      <c r="B2" s="72" t="s">
        <v>71</v>
      </c>
      <c r="C2" s="56" t="s">
        <v>58</v>
      </c>
      <c r="D2" s="66">
        <v>8780565122</v>
      </c>
      <c r="E2" s="58" t="s">
        <v>72</v>
      </c>
      <c r="F2" s="59"/>
      <c r="G2" s="73" t="s">
        <v>73</v>
      </c>
      <c r="H2" s="61"/>
      <c r="I2" s="62"/>
      <c r="J2" s="63">
        <f t="shared" ref="J2:J33" si="0">VLOOKUP(C2,$S$18:$T$31,2,0)</f>
        <v>2400</v>
      </c>
      <c r="K2" s="63">
        <f t="shared" ref="K2:K33" si="1">IF(E2="girl",J2*10%,0)</f>
        <v>240</v>
      </c>
      <c r="L2" s="63">
        <f t="shared" ref="L2:L33" si="2">J2-K2</f>
        <v>2160</v>
      </c>
      <c r="M2" s="64">
        <f>SUMIF('FEE ENTRY'!$C$3:$C$202,B2,'FEE ENTRY'!$I$3:$I$202)</f>
        <v>0</v>
      </c>
      <c r="N2" s="64">
        <f t="shared" ref="N2:N33" si="3">L2-M2</f>
        <v>2160</v>
      </c>
      <c r="O2" s="65">
        <f t="shared" ref="O2:O33" si="4">IF(C2="K.G.",0,IF(C2="1st",1,IF(C2="2nd",2,IF(C2="3rd",3,IF(C2="4th",4,IF(C2="5th",5,IF(C2="6th",6,IF(C2="7th",7,IF(C2="8th",8,IF(C2="9th",9,IF(C2="10th",10,IF(C2="11th",11,IF(C2="12th",12,"")))))))))))))</f>
        <v>0</v>
      </c>
      <c r="S2" s="82"/>
      <c r="T2" s="83" t="s">
        <v>72</v>
      </c>
      <c r="U2" s="83" t="s">
        <v>63</v>
      </c>
      <c r="V2" s="84" t="s">
        <v>28</v>
      </c>
    </row>
    <row r="3" spans="1:23" s="65" customFormat="1" ht="18" customHeight="1" thickBot="1" x14ac:dyDescent="0.35">
      <c r="A3" s="56">
        <v>2</v>
      </c>
      <c r="B3" s="72" t="s">
        <v>158</v>
      </c>
      <c r="C3" s="56" t="s">
        <v>58</v>
      </c>
      <c r="D3" s="66">
        <v>9898359914</v>
      </c>
      <c r="E3" s="58" t="s">
        <v>72</v>
      </c>
      <c r="F3" s="59"/>
      <c r="G3" s="73" t="s">
        <v>93</v>
      </c>
      <c r="H3" s="61" t="s">
        <v>64</v>
      </c>
      <c r="I3" s="56"/>
      <c r="J3" s="63">
        <f t="shared" si="0"/>
        <v>2400</v>
      </c>
      <c r="K3" s="63">
        <f t="shared" si="1"/>
        <v>240</v>
      </c>
      <c r="L3" s="63">
        <f t="shared" si="2"/>
        <v>2160</v>
      </c>
      <c r="M3" s="64">
        <f>SUMIF('FEE ENTRY'!$C$3:$C$202,B3,'FEE ENTRY'!$I$3:$I$202)</f>
        <v>0</v>
      </c>
      <c r="N3" s="64">
        <f t="shared" si="3"/>
        <v>2160</v>
      </c>
      <c r="O3" s="65">
        <f t="shared" si="4"/>
        <v>0</v>
      </c>
      <c r="S3" s="67" t="s">
        <v>58</v>
      </c>
      <c r="T3" s="68">
        <f t="shared" ref="T3:T15" si="5">COUNTIFS($C$2:$C$101,$S3,$E$2:$E$101,$T$2)</f>
        <v>2</v>
      </c>
      <c r="U3" s="69">
        <f t="shared" ref="U3:U15" si="6">COUNTIFS($C$2:$C$101,$S3,$E$2:$E$101,$U$2)</f>
        <v>0</v>
      </c>
      <c r="V3" s="70">
        <f>SUM(T3:U3)</f>
        <v>2</v>
      </c>
      <c r="W3" s="71"/>
    </row>
    <row r="4" spans="1:23" s="65" customFormat="1" ht="18" customHeight="1" thickBot="1" x14ac:dyDescent="0.35">
      <c r="A4" s="56">
        <v>3</v>
      </c>
      <c r="B4" s="72" t="s">
        <v>75</v>
      </c>
      <c r="C4" s="56" t="s">
        <v>3</v>
      </c>
      <c r="D4" s="66">
        <v>7405182928</v>
      </c>
      <c r="E4" s="58" t="s">
        <v>63</v>
      </c>
      <c r="F4" s="59"/>
      <c r="G4" s="73" t="s">
        <v>76</v>
      </c>
      <c r="H4" s="61" t="s">
        <v>77</v>
      </c>
      <c r="I4" s="62"/>
      <c r="J4" s="63">
        <f t="shared" si="0"/>
        <v>2800</v>
      </c>
      <c r="K4" s="63">
        <f t="shared" si="1"/>
        <v>0</v>
      </c>
      <c r="L4" s="63">
        <f t="shared" si="2"/>
        <v>2800</v>
      </c>
      <c r="M4" s="64">
        <f>SUMIF('FEE ENTRY'!$C$3:$C$202,B4,'FEE ENTRY'!$I$3:$I$202)</f>
        <v>0</v>
      </c>
      <c r="N4" s="64">
        <f t="shared" si="3"/>
        <v>2800</v>
      </c>
      <c r="O4" s="65">
        <f t="shared" si="4"/>
        <v>1</v>
      </c>
      <c r="S4" s="67" t="s">
        <v>3</v>
      </c>
      <c r="T4" s="68">
        <f t="shared" si="5"/>
        <v>0</v>
      </c>
      <c r="U4" s="69">
        <f t="shared" si="6"/>
        <v>1</v>
      </c>
      <c r="V4" s="70">
        <f t="shared" ref="V4:V15" si="7">SUM(T4:U4)</f>
        <v>1</v>
      </c>
      <c r="W4" s="71"/>
    </row>
    <row r="5" spans="1:23" s="65" customFormat="1" ht="18" customHeight="1" thickBot="1" x14ac:dyDescent="0.35">
      <c r="A5" s="56">
        <v>4</v>
      </c>
      <c r="B5" s="113" t="s">
        <v>62</v>
      </c>
      <c r="C5" s="56" t="s">
        <v>16</v>
      </c>
      <c r="D5" s="57">
        <v>9428692168</v>
      </c>
      <c r="E5" s="58" t="s">
        <v>63</v>
      </c>
      <c r="F5" s="59"/>
      <c r="G5" s="60" t="s">
        <v>69</v>
      </c>
      <c r="H5" s="61" t="s">
        <v>64</v>
      </c>
      <c r="I5" s="62"/>
      <c r="J5" s="63">
        <f t="shared" si="0"/>
        <v>3600</v>
      </c>
      <c r="K5" s="63">
        <f t="shared" si="1"/>
        <v>0</v>
      </c>
      <c r="L5" s="63">
        <f t="shared" si="2"/>
        <v>3600</v>
      </c>
      <c r="M5" s="64">
        <f>SUMIF('FEE ENTRY'!$C$3:$C$202,B5,'FEE ENTRY'!$I$3:$I$202)</f>
        <v>0</v>
      </c>
      <c r="N5" s="64">
        <f t="shared" si="3"/>
        <v>3600</v>
      </c>
      <c r="O5" s="65">
        <f t="shared" si="4"/>
        <v>3</v>
      </c>
      <c r="S5" s="67" t="s">
        <v>4</v>
      </c>
      <c r="T5" s="68">
        <f t="shared" si="5"/>
        <v>0</v>
      </c>
      <c r="U5" s="69">
        <f t="shared" si="6"/>
        <v>0</v>
      </c>
      <c r="V5" s="70">
        <f t="shared" si="7"/>
        <v>0</v>
      </c>
      <c r="W5" s="71"/>
    </row>
    <row r="6" spans="1:23" s="65" customFormat="1" ht="18" customHeight="1" thickBot="1" x14ac:dyDescent="0.35">
      <c r="A6" s="56">
        <v>5</v>
      </c>
      <c r="B6" s="72" t="s">
        <v>107</v>
      </c>
      <c r="C6" s="56" t="s">
        <v>16</v>
      </c>
      <c r="D6" s="66">
        <v>9723326757</v>
      </c>
      <c r="E6" s="58" t="s">
        <v>72</v>
      </c>
      <c r="F6" s="59"/>
      <c r="G6" s="73" t="s">
        <v>108</v>
      </c>
      <c r="H6" s="61" t="s">
        <v>109</v>
      </c>
      <c r="I6" s="56"/>
      <c r="J6" s="63">
        <f t="shared" si="0"/>
        <v>3600</v>
      </c>
      <c r="K6" s="63">
        <f t="shared" si="1"/>
        <v>360</v>
      </c>
      <c r="L6" s="63">
        <f t="shared" si="2"/>
        <v>3240</v>
      </c>
      <c r="M6" s="64">
        <f>SUMIF('FEE ENTRY'!$C$3:$C$202,B6,'FEE ENTRY'!$I$3:$I$202)</f>
        <v>0</v>
      </c>
      <c r="N6" s="64">
        <f t="shared" si="3"/>
        <v>3240</v>
      </c>
      <c r="O6" s="65">
        <f t="shared" si="4"/>
        <v>3</v>
      </c>
      <c r="S6" s="67" t="s">
        <v>16</v>
      </c>
      <c r="T6" s="68">
        <f t="shared" si="5"/>
        <v>2</v>
      </c>
      <c r="U6" s="69">
        <f t="shared" si="6"/>
        <v>1</v>
      </c>
      <c r="V6" s="70">
        <f t="shared" si="7"/>
        <v>3</v>
      </c>
      <c r="W6" s="71"/>
    </row>
    <row r="7" spans="1:23" s="65" customFormat="1" ht="18" customHeight="1" thickBot="1" x14ac:dyDescent="0.35">
      <c r="A7" s="56">
        <v>6</v>
      </c>
      <c r="B7" s="72" t="s">
        <v>110</v>
      </c>
      <c r="C7" s="56" t="s">
        <v>16</v>
      </c>
      <c r="D7" s="66">
        <v>8780565122</v>
      </c>
      <c r="E7" s="58" t="s">
        <v>72</v>
      </c>
      <c r="F7" s="59"/>
      <c r="G7" s="73" t="s">
        <v>73</v>
      </c>
      <c r="H7" s="61" t="s">
        <v>109</v>
      </c>
      <c r="I7" s="56"/>
      <c r="J7" s="63">
        <f t="shared" si="0"/>
        <v>3600</v>
      </c>
      <c r="K7" s="63">
        <f t="shared" si="1"/>
        <v>360</v>
      </c>
      <c r="L7" s="63">
        <f t="shared" si="2"/>
        <v>3240</v>
      </c>
      <c r="M7" s="64">
        <f>SUMIF('FEE ENTRY'!$C$3:$C$202,B7,'FEE ENTRY'!$I$3:$I$202)</f>
        <v>0</v>
      </c>
      <c r="N7" s="64">
        <f t="shared" si="3"/>
        <v>3240</v>
      </c>
      <c r="O7" s="65">
        <f t="shared" si="4"/>
        <v>3</v>
      </c>
      <c r="S7" s="67" t="s">
        <v>18</v>
      </c>
      <c r="T7" s="68">
        <f t="shared" si="5"/>
        <v>1</v>
      </c>
      <c r="U7" s="69">
        <f t="shared" si="6"/>
        <v>3</v>
      </c>
      <c r="V7" s="70">
        <f t="shared" si="7"/>
        <v>4</v>
      </c>
      <c r="W7" s="71"/>
    </row>
    <row r="8" spans="1:23" s="65" customFormat="1" ht="18" customHeight="1" thickBot="1" x14ac:dyDescent="0.35">
      <c r="A8" s="56">
        <v>7</v>
      </c>
      <c r="B8" s="113" t="s">
        <v>67</v>
      </c>
      <c r="C8" s="56" t="s">
        <v>18</v>
      </c>
      <c r="D8" s="66">
        <v>6356106909</v>
      </c>
      <c r="E8" s="58" t="s">
        <v>63</v>
      </c>
      <c r="F8" s="59"/>
      <c r="G8" s="60" t="s">
        <v>68</v>
      </c>
      <c r="H8" s="60" t="s">
        <v>66</v>
      </c>
      <c r="I8" s="62"/>
      <c r="J8" s="63">
        <f t="shared" si="0"/>
        <v>4000</v>
      </c>
      <c r="K8" s="63">
        <f t="shared" si="1"/>
        <v>0</v>
      </c>
      <c r="L8" s="63">
        <f t="shared" si="2"/>
        <v>4000</v>
      </c>
      <c r="M8" s="64">
        <f>SUMIF('FEE ENTRY'!$C$3:$C$202,B8,'FEE ENTRY'!$I$3:$I$202)</f>
        <v>0</v>
      </c>
      <c r="N8" s="64">
        <f t="shared" si="3"/>
        <v>4000</v>
      </c>
      <c r="O8" s="65">
        <f t="shared" si="4"/>
        <v>4</v>
      </c>
      <c r="S8" s="67" t="s">
        <v>6</v>
      </c>
      <c r="T8" s="68">
        <f t="shared" si="5"/>
        <v>4</v>
      </c>
      <c r="U8" s="69">
        <f t="shared" si="6"/>
        <v>1</v>
      </c>
      <c r="V8" s="70">
        <f t="shared" si="7"/>
        <v>5</v>
      </c>
      <c r="W8" s="71"/>
    </row>
    <row r="9" spans="1:23" s="65" customFormat="1" ht="18" customHeight="1" thickBot="1" x14ac:dyDescent="0.35">
      <c r="A9" s="56">
        <v>8</v>
      </c>
      <c r="B9" s="72" t="s">
        <v>74</v>
      </c>
      <c r="C9" s="56" t="s">
        <v>18</v>
      </c>
      <c r="D9" s="66">
        <v>8401255492</v>
      </c>
      <c r="E9" s="58" t="s">
        <v>63</v>
      </c>
      <c r="F9" s="59"/>
      <c r="G9" s="60" t="s">
        <v>70</v>
      </c>
      <c r="H9" s="61" t="s">
        <v>64</v>
      </c>
      <c r="I9" s="62"/>
      <c r="J9" s="63">
        <f t="shared" si="0"/>
        <v>4000</v>
      </c>
      <c r="K9" s="63">
        <f t="shared" si="1"/>
        <v>0</v>
      </c>
      <c r="L9" s="63">
        <f t="shared" si="2"/>
        <v>4000</v>
      </c>
      <c r="M9" s="64">
        <f>SUMIF('FEE ENTRY'!$C$3:$C$202,B9,'FEE ENTRY'!$I$3:$I$202)</f>
        <v>0</v>
      </c>
      <c r="N9" s="64">
        <f t="shared" si="3"/>
        <v>4000</v>
      </c>
      <c r="O9" s="65">
        <f t="shared" si="4"/>
        <v>4</v>
      </c>
      <c r="S9" s="67" t="s">
        <v>15</v>
      </c>
      <c r="T9" s="68">
        <f t="shared" si="5"/>
        <v>2</v>
      </c>
      <c r="U9" s="69">
        <f t="shared" si="6"/>
        <v>5</v>
      </c>
      <c r="V9" s="70">
        <f t="shared" si="7"/>
        <v>7</v>
      </c>
      <c r="W9" s="71"/>
    </row>
    <row r="10" spans="1:23" s="65" customFormat="1" ht="18" customHeight="1" thickBot="1" x14ac:dyDescent="0.35">
      <c r="A10" s="56">
        <v>9</v>
      </c>
      <c r="B10" s="72" t="s">
        <v>103</v>
      </c>
      <c r="C10" s="56" t="s">
        <v>18</v>
      </c>
      <c r="D10" s="66">
        <v>9558107071</v>
      </c>
      <c r="E10" s="58" t="s">
        <v>63</v>
      </c>
      <c r="F10" s="59"/>
      <c r="G10" s="73" t="s">
        <v>104</v>
      </c>
      <c r="H10" s="61" t="s">
        <v>105</v>
      </c>
      <c r="I10" s="56"/>
      <c r="J10" s="63">
        <f t="shared" si="0"/>
        <v>4000</v>
      </c>
      <c r="K10" s="63">
        <f t="shared" si="1"/>
        <v>0</v>
      </c>
      <c r="L10" s="63">
        <f t="shared" si="2"/>
        <v>4000</v>
      </c>
      <c r="M10" s="64">
        <f>SUMIF('FEE ENTRY'!$C$3:$C$202,B10,'FEE ENTRY'!$I$3:$I$202)</f>
        <v>0</v>
      </c>
      <c r="N10" s="64">
        <f t="shared" si="3"/>
        <v>4000</v>
      </c>
      <c r="O10" s="65">
        <f t="shared" si="4"/>
        <v>4</v>
      </c>
      <c r="S10" s="67" t="s">
        <v>19</v>
      </c>
      <c r="T10" s="68">
        <f t="shared" si="5"/>
        <v>3</v>
      </c>
      <c r="U10" s="69">
        <f t="shared" si="6"/>
        <v>3</v>
      </c>
      <c r="V10" s="70">
        <f t="shared" si="7"/>
        <v>6</v>
      </c>
      <c r="W10" s="71"/>
    </row>
    <row r="11" spans="1:23" s="65" customFormat="1" ht="18" customHeight="1" thickBot="1" x14ac:dyDescent="0.35">
      <c r="A11" s="56">
        <v>10</v>
      </c>
      <c r="B11" s="72" t="s">
        <v>133</v>
      </c>
      <c r="C11" s="56" t="s">
        <v>18</v>
      </c>
      <c r="D11" s="66">
        <v>9974633556</v>
      </c>
      <c r="E11" s="58" t="s">
        <v>72</v>
      </c>
      <c r="F11" s="59"/>
      <c r="G11" s="73" t="s">
        <v>112</v>
      </c>
      <c r="H11" s="61" t="s">
        <v>85</v>
      </c>
      <c r="I11" s="56"/>
      <c r="J11" s="63">
        <f t="shared" si="0"/>
        <v>4000</v>
      </c>
      <c r="K11" s="63">
        <f t="shared" si="1"/>
        <v>400</v>
      </c>
      <c r="L11" s="63">
        <f t="shared" si="2"/>
        <v>3600</v>
      </c>
      <c r="M11" s="64">
        <f>SUMIF('FEE ENTRY'!$C$3:$C$202,B11,'FEE ENTRY'!$I$3:$I$202)</f>
        <v>0</v>
      </c>
      <c r="N11" s="64">
        <f t="shared" si="3"/>
        <v>3600</v>
      </c>
      <c r="O11" s="65">
        <f t="shared" si="4"/>
        <v>4</v>
      </c>
      <c r="S11" s="67" t="s">
        <v>5</v>
      </c>
      <c r="T11" s="68">
        <f t="shared" si="5"/>
        <v>3</v>
      </c>
      <c r="U11" s="69">
        <f t="shared" si="6"/>
        <v>3</v>
      </c>
      <c r="V11" s="70">
        <f t="shared" si="7"/>
        <v>6</v>
      </c>
      <c r="W11" s="71"/>
    </row>
    <row r="12" spans="1:23" s="65" customFormat="1" ht="18" customHeight="1" thickBot="1" x14ac:dyDescent="0.35">
      <c r="A12" s="56">
        <v>11</v>
      </c>
      <c r="B12" s="72" t="s">
        <v>96</v>
      </c>
      <c r="C12" s="56" t="s">
        <v>6</v>
      </c>
      <c r="D12" s="66">
        <v>9722252422</v>
      </c>
      <c r="E12" s="58" t="s">
        <v>72</v>
      </c>
      <c r="F12" s="59"/>
      <c r="G12" s="73" t="s">
        <v>93</v>
      </c>
      <c r="H12" s="61" t="s">
        <v>64</v>
      </c>
      <c r="I12" s="56"/>
      <c r="J12" s="63">
        <f t="shared" si="0"/>
        <v>4500</v>
      </c>
      <c r="K12" s="63">
        <f t="shared" si="1"/>
        <v>450</v>
      </c>
      <c r="L12" s="63">
        <f t="shared" si="2"/>
        <v>4050</v>
      </c>
      <c r="M12" s="64">
        <f>SUMIF('FEE ENTRY'!$C$3:$C$202,B12,'FEE ENTRY'!$I$3:$I$202)</f>
        <v>0</v>
      </c>
      <c r="N12" s="64">
        <f t="shared" si="3"/>
        <v>4050</v>
      </c>
      <c r="O12" s="65">
        <f t="shared" si="4"/>
        <v>5</v>
      </c>
      <c r="S12" s="67" t="s">
        <v>20</v>
      </c>
      <c r="T12" s="68">
        <f t="shared" si="5"/>
        <v>2</v>
      </c>
      <c r="U12" s="69">
        <f t="shared" si="6"/>
        <v>1</v>
      </c>
      <c r="V12" s="70">
        <f t="shared" si="7"/>
        <v>3</v>
      </c>
      <c r="W12" s="71"/>
    </row>
    <row r="13" spans="1:23" s="65" customFormat="1" ht="18" customHeight="1" thickBot="1" x14ac:dyDescent="0.35">
      <c r="A13" s="56">
        <v>12</v>
      </c>
      <c r="B13" s="72" t="s">
        <v>113</v>
      </c>
      <c r="C13" s="56" t="s">
        <v>6</v>
      </c>
      <c r="D13" s="66">
        <v>8758142909</v>
      </c>
      <c r="E13" s="58" t="s">
        <v>72</v>
      </c>
      <c r="F13" s="59"/>
      <c r="G13" s="73" t="s">
        <v>114</v>
      </c>
      <c r="H13" s="61" t="s">
        <v>115</v>
      </c>
      <c r="I13" s="56"/>
      <c r="J13" s="63">
        <f t="shared" si="0"/>
        <v>4500</v>
      </c>
      <c r="K13" s="63">
        <f t="shared" si="1"/>
        <v>450</v>
      </c>
      <c r="L13" s="63">
        <f t="shared" si="2"/>
        <v>4050</v>
      </c>
      <c r="M13" s="64">
        <f>SUMIF('FEE ENTRY'!$C$3:$C$202,B13,'FEE ENTRY'!$I$3:$I$202)</f>
        <v>0</v>
      </c>
      <c r="N13" s="64">
        <f t="shared" si="3"/>
        <v>4050</v>
      </c>
      <c r="O13" s="65">
        <f t="shared" si="4"/>
        <v>5</v>
      </c>
      <c r="S13" s="67" t="s">
        <v>17</v>
      </c>
      <c r="T13" s="68">
        <f t="shared" si="5"/>
        <v>3</v>
      </c>
      <c r="U13" s="69">
        <f t="shared" si="6"/>
        <v>6</v>
      </c>
      <c r="V13" s="70">
        <f t="shared" si="7"/>
        <v>9</v>
      </c>
      <c r="W13" s="71"/>
    </row>
    <row r="14" spans="1:23" s="65" customFormat="1" ht="18" customHeight="1" thickBot="1" x14ac:dyDescent="0.35">
      <c r="A14" s="56">
        <v>13</v>
      </c>
      <c r="B14" s="72" t="s">
        <v>116</v>
      </c>
      <c r="C14" s="56" t="s">
        <v>6</v>
      </c>
      <c r="D14" s="66">
        <v>9723326757</v>
      </c>
      <c r="E14" s="58" t="s">
        <v>72</v>
      </c>
      <c r="F14" s="59"/>
      <c r="G14" s="73" t="s">
        <v>108</v>
      </c>
      <c r="H14" s="61" t="s">
        <v>109</v>
      </c>
      <c r="I14" s="56"/>
      <c r="J14" s="63">
        <f t="shared" si="0"/>
        <v>4500</v>
      </c>
      <c r="K14" s="63">
        <f t="shared" si="1"/>
        <v>450</v>
      </c>
      <c r="L14" s="63">
        <f t="shared" si="2"/>
        <v>4050</v>
      </c>
      <c r="M14" s="64">
        <f>SUMIF('FEE ENTRY'!$C$3:$C$202,B14,'FEE ENTRY'!$I$3:$I$202)</f>
        <v>0</v>
      </c>
      <c r="N14" s="64">
        <f t="shared" si="3"/>
        <v>4050</v>
      </c>
      <c r="O14" s="65">
        <f t="shared" si="4"/>
        <v>5</v>
      </c>
      <c r="S14" s="67" t="s">
        <v>21</v>
      </c>
      <c r="T14" s="68">
        <f t="shared" si="5"/>
        <v>0</v>
      </c>
      <c r="U14" s="69">
        <f t="shared" si="6"/>
        <v>0</v>
      </c>
      <c r="V14" s="70">
        <f t="shared" si="7"/>
        <v>0</v>
      </c>
      <c r="W14" s="71"/>
    </row>
    <row r="15" spans="1:23" s="65" customFormat="1" ht="18" customHeight="1" thickBot="1" x14ac:dyDescent="0.35">
      <c r="A15" s="56">
        <v>14</v>
      </c>
      <c r="B15" s="72" t="s">
        <v>117</v>
      </c>
      <c r="C15" s="56" t="s">
        <v>6</v>
      </c>
      <c r="D15" s="66">
        <v>7405182928</v>
      </c>
      <c r="E15" s="58" t="s">
        <v>63</v>
      </c>
      <c r="F15" s="59"/>
      <c r="G15" s="73" t="s">
        <v>76</v>
      </c>
      <c r="H15" s="61" t="s">
        <v>64</v>
      </c>
      <c r="I15" s="56"/>
      <c r="J15" s="63">
        <f t="shared" si="0"/>
        <v>4500</v>
      </c>
      <c r="K15" s="63">
        <f t="shared" si="1"/>
        <v>0</v>
      </c>
      <c r="L15" s="63">
        <f t="shared" si="2"/>
        <v>4500</v>
      </c>
      <c r="M15" s="64">
        <f>SUMIF('FEE ENTRY'!$C$3:$C$202,B15,'FEE ENTRY'!$I$3:$I$202)</f>
        <v>0</v>
      </c>
      <c r="N15" s="64">
        <f t="shared" si="3"/>
        <v>4500</v>
      </c>
      <c r="O15" s="65">
        <f t="shared" si="4"/>
        <v>5</v>
      </c>
      <c r="S15" s="74" t="s">
        <v>22</v>
      </c>
      <c r="T15" s="75">
        <f t="shared" si="5"/>
        <v>4</v>
      </c>
      <c r="U15" s="76">
        <f t="shared" si="6"/>
        <v>1</v>
      </c>
      <c r="V15" s="70">
        <f t="shared" si="7"/>
        <v>5</v>
      </c>
      <c r="W15" s="71"/>
    </row>
    <row r="16" spans="1:23" s="65" customFormat="1" ht="18" customHeight="1" thickBot="1" x14ac:dyDescent="0.35">
      <c r="A16" s="56">
        <v>15</v>
      </c>
      <c r="B16" s="72" t="s">
        <v>118</v>
      </c>
      <c r="C16" s="56" t="s">
        <v>6</v>
      </c>
      <c r="D16" s="66">
        <v>8758555925</v>
      </c>
      <c r="E16" s="58" t="s">
        <v>72</v>
      </c>
      <c r="F16" s="59"/>
      <c r="G16" s="73" t="s">
        <v>119</v>
      </c>
      <c r="H16" s="61" t="s">
        <v>109</v>
      </c>
      <c r="I16" s="56"/>
      <c r="J16" s="63">
        <f t="shared" si="0"/>
        <v>4500</v>
      </c>
      <c r="K16" s="63">
        <f t="shared" si="1"/>
        <v>450</v>
      </c>
      <c r="L16" s="63">
        <f t="shared" si="2"/>
        <v>4050</v>
      </c>
      <c r="M16" s="64">
        <f>SUMIF('FEE ENTRY'!$C$3:$C$202,B16,'FEE ENTRY'!$I$3:$I$202)</f>
        <v>0</v>
      </c>
      <c r="N16" s="64">
        <f t="shared" si="3"/>
        <v>4050</v>
      </c>
      <c r="O16" s="65">
        <f t="shared" si="4"/>
        <v>5</v>
      </c>
      <c r="S16" s="77" t="s">
        <v>28</v>
      </c>
      <c r="T16" s="78">
        <f>SUM(T3:T15)</f>
        <v>26</v>
      </c>
      <c r="U16" s="79">
        <f>SUM(U3:U15)</f>
        <v>25</v>
      </c>
      <c r="V16" s="80">
        <f>SUM(T16:U16)</f>
        <v>51</v>
      </c>
      <c r="W16" s="71"/>
    </row>
    <row r="17" spans="1:22" s="65" customFormat="1" ht="18" customHeight="1" x14ac:dyDescent="0.25">
      <c r="A17" s="56">
        <v>16</v>
      </c>
      <c r="B17" s="72" t="s">
        <v>80</v>
      </c>
      <c r="C17" s="56" t="s">
        <v>15</v>
      </c>
      <c r="D17" s="66">
        <v>7984122443</v>
      </c>
      <c r="E17" s="58" t="s">
        <v>63</v>
      </c>
      <c r="F17" s="59"/>
      <c r="G17" s="73" t="s">
        <v>73</v>
      </c>
      <c r="H17" s="61" t="s">
        <v>81</v>
      </c>
      <c r="I17" s="62"/>
      <c r="J17" s="63">
        <f t="shared" si="0"/>
        <v>5500</v>
      </c>
      <c r="K17" s="63">
        <f t="shared" si="1"/>
        <v>0</v>
      </c>
      <c r="L17" s="63">
        <f t="shared" si="2"/>
        <v>5500</v>
      </c>
      <c r="M17" s="64">
        <f>SUMIF('FEE ENTRY'!$C$3:$C$202,B17,'FEE ENTRY'!$I$3:$I$202)</f>
        <v>0</v>
      </c>
      <c r="N17" s="64">
        <f t="shared" si="3"/>
        <v>5500</v>
      </c>
      <c r="O17" s="65">
        <f t="shared" si="4"/>
        <v>6</v>
      </c>
      <c r="S17" s="122" t="s">
        <v>50</v>
      </c>
      <c r="T17" s="123" t="s">
        <v>57</v>
      </c>
    </row>
    <row r="18" spans="1:22" s="65" customFormat="1" ht="18" customHeight="1" x14ac:dyDescent="0.3">
      <c r="A18" s="56">
        <v>17</v>
      </c>
      <c r="B18" s="72" t="s">
        <v>92</v>
      </c>
      <c r="C18" s="56" t="s">
        <v>15</v>
      </c>
      <c r="D18" s="66">
        <v>9722252422</v>
      </c>
      <c r="E18" s="58" t="s">
        <v>72</v>
      </c>
      <c r="F18" s="59"/>
      <c r="G18" s="73" t="s">
        <v>93</v>
      </c>
      <c r="H18" s="61" t="s">
        <v>64</v>
      </c>
      <c r="I18" s="56"/>
      <c r="J18" s="63">
        <f t="shared" si="0"/>
        <v>5500</v>
      </c>
      <c r="K18" s="63">
        <f t="shared" si="1"/>
        <v>550</v>
      </c>
      <c r="L18" s="63">
        <f t="shared" si="2"/>
        <v>4950</v>
      </c>
      <c r="M18" s="64">
        <f>SUMIF('FEE ENTRY'!$C$3:$C$202,B18,'FEE ENTRY'!$I$3:$I$202)</f>
        <v>0</v>
      </c>
      <c r="N18" s="64">
        <f t="shared" si="3"/>
        <v>4950</v>
      </c>
      <c r="O18" s="65">
        <f t="shared" si="4"/>
        <v>6</v>
      </c>
      <c r="S18" s="124" t="s">
        <v>58</v>
      </c>
      <c r="T18" s="125">
        <v>2400</v>
      </c>
      <c r="U18" s="81"/>
      <c r="V18" s="81"/>
    </row>
    <row r="19" spans="1:22" s="65" customFormat="1" ht="18" customHeight="1" x14ac:dyDescent="0.3">
      <c r="A19" s="56">
        <v>18</v>
      </c>
      <c r="B19" s="72" t="s">
        <v>120</v>
      </c>
      <c r="C19" s="56" t="s">
        <v>15</v>
      </c>
      <c r="D19" s="66">
        <v>9723326757</v>
      </c>
      <c r="E19" s="58" t="s">
        <v>72</v>
      </c>
      <c r="F19" s="59"/>
      <c r="G19" s="73" t="s">
        <v>108</v>
      </c>
      <c r="H19" s="61" t="s">
        <v>109</v>
      </c>
      <c r="I19" s="56"/>
      <c r="J19" s="63">
        <f t="shared" si="0"/>
        <v>5500</v>
      </c>
      <c r="K19" s="63">
        <f t="shared" si="1"/>
        <v>550</v>
      </c>
      <c r="L19" s="63">
        <f t="shared" si="2"/>
        <v>4950</v>
      </c>
      <c r="M19" s="64">
        <f>SUMIF('FEE ENTRY'!$C$3:$C$202,B19,'FEE ENTRY'!$I$3:$I$202)</f>
        <v>0</v>
      </c>
      <c r="N19" s="64">
        <f t="shared" si="3"/>
        <v>4950</v>
      </c>
      <c r="O19" s="65">
        <f t="shared" si="4"/>
        <v>6</v>
      </c>
      <c r="S19" s="124" t="s">
        <v>3</v>
      </c>
      <c r="T19" s="125">
        <v>2800</v>
      </c>
    </row>
    <row r="20" spans="1:22" s="65" customFormat="1" ht="18" customHeight="1" x14ac:dyDescent="0.3">
      <c r="A20" s="56">
        <v>19</v>
      </c>
      <c r="B20" s="72" t="s">
        <v>121</v>
      </c>
      <c r="C20" s="56" t="s">
        <v>15</v>
      </c>
      <c r="D20" s="66">
        <v>9316103639</v>
      </c>
      <c r="E20" s="58" t="s">
        <v>63</v>
      </c>
      <c r="F20" s="59"/>
      <c r="G20" s="73" t="s">
        <v>122</v>
      </c>
      <c r="H20" s="61" t="s">
        <v>123</v>
      </c>
      <c r="I20" s="56"/>
      <c r="J20" s="63">
        <f t="shared" si="0"/>
        <v>5500</v>
      </c>
      <c r="K20" s="63">
        <f t="shared" si="1"/>
        <v>0</v>
      </c>
      <c r="L20" s="63">
        <f t="shared" si="2"/>
        <v>5500</v>
      </c>
      <c r="M20" s="64">
        <f>SUMIF('FEE ENTRY'!$C$3:$C$202,B20,'FEE ENTRY'!$I$3:$I$202)</f>
        <v>0</v>
      </c>
      <c r="N20" s="64">
        <f t="shared" si="3"/>
        <v>5500</v>
      </c>
      <c r="O20" s="65">
        <f t="shared" si="4"/>
        <v>6</v>
      </c>
      <c r="S20" s="124" t="s">
        <v>4</v>
      </c>
      <c r="T20" s="125">
        <v>3200</v>
      </c>
    </row>
    <row r="21" spans="1:22" s="65" customFormat="1" ht="18" customHeight="1" x14ac:dyDescent="0.3">
      <c r="A21" s="56">
        <v>20</v>
      </c>
      <c r="B21" s="72" t="s">
        <v>124</v>
      </c>
      <c r="C21" s="56" t="s">
        <v>15</v>
      </c>
      <c r="D21" s="66">
        <v>9925666924</v>
      </c>
      <c r="E21" s="58" t="s">
        <v>63</v>
      </c>
      <c r="F21" s="59"/>
      <c r="G21" s="73" t="s">
        <v>125</v>
      </c>
      <c r="H21" s="61" t="s">
        <v>123</v>
      </c>
      <c r="I21" s="56"/>
      <c r="J21" s="63">
        <f t="shared" si="0"/>
        <v>5500</v>
      </c>
      <c r="K21" s="63">
        <f t="shared" si="1"/>
        <v>0</v>
      </c>
      <c r="L21" s="63">
        <f t="shared" si="2"/>
        <v>5500</v>
      </c>
      <c r="M21" s="64">
        <f>SUMIF('FEE ENTRY'!$C$3:$C$202,B21,'FEE ENTRY'!$I$3:$I$202)</f>
        <v>0</v>
      </c>
      <c r="N21" s="64">
        <f t="shared" si="3"/>
        <v>5500</v>
      </c>
      <c r="O21" s="65">
        <f t="shared" si="4"/>
        <v>6</v>
      </c>
      <c r="S21" s="124" t="s">
        <v>16</v>
      </c>
      <c r="T21" s="125">
        <v>3600</v>
      </c>
    </row>
    <row r="22" spans="1:22" s="65" customFormat="1" ht="18" customHeight="1" x14ac:dyDescent="0.3">
      <c r="A22" s="56">
        <v>21</v>
      </c>
      <c r="B22" s="72" t="s">
        <v>126</v>
      </c>
      <c r="C22" s="56" t="s">
        <v>15</v>
      </c>
      <c r="D22" s="66">
        <v>9510095137</v>
      </c>
      <c r="E22" s="58" t="s">
        <v>63</v>
      </c>
      <c r="F22" s="59"/>
      <c r="G22" s="73" t="s">
        <v>127</v>
      </c>
      <c r="H22" s="61" t="s">
        <v>123</v>
      </c>
      <c r="I22" s="56"/>
      <c r="J22" s="63">
        <f t="shared" si="0"/>
        <v>5500</v>
      </c>
      <c r="K22" s="63">
        <f t="shared" si="1"/>
        <v>0</v>
      </c>
      <c r="L22" s="63">
        <f t="shared" si="2"/>
        <v>5500</v>
      </c>
      <c r="M22" s="64">
        <f>SUMIF('FEE ENTRY'!$C$3:$C$202,B22,'FEE ENTRY'!$I$3:$I$202)</f>
        <v>0</v>
      </c>
      <c r="N22" s="64">
        <f t="shared" si="3"/>
        <v>5500</v>
      </c>
      <c r="O22" s="65">
        <f t="shared" si="4"/>
        <v>6</v>
      </c>
      <c r="S22" s="124" t="s">
        <v>18</v>
      </c>
      <c r="T22" s="125">
        <v>4000</v>
      </c>
    </row>
    <row r="23" spans="1:22" s="65" customFormat="1" ht="18" customHeight="1" x14ac:dyDescent="0.3">
      <c r="A23" s="56">
        <v>22</v>
      </c>
      <c r="B23" s="72" t="s">
        <v>156</v>
      </c>
      <c r="C23" s="56" t="s">
        <v>15</v>
      </c>
      <c r="D23" s="66">
        <v>9898359914</v>
      </c>
      <c r="E23" s="58" t="s">
        <v>63</v>
      </c>
      <c r="F23" s="59"/>
      <c r="G23" s="73" t="s">
        <v>93</v>
      </c>
      <c r="H23" s="61" t="s">
        <v>64</v>
      </c>
      <c r="I23" s="56"/>
      <c r="J23" s="63">
        <f t="shared" si="0"/>
        <v>5500</v>
      </c>
      <c r="K23" s="63">
        <f t="shared" si="1"/>
        <v>0</v>
      </c>
      <c r="L23" s="63">
        <f t="shared" si="2"/>
        <v>5500</v>
      </c>
      <c r="M23" s="64">
        <f>SUMIF('FEE ENTRY'!$C$3:$C$202,B23,'FEE ENTRY'!$I$3:$I$202)</f>
        <v>0</v>
      </c>
      <c r="N23" s="64">
        <f t="shared" si="3"/>
        <v>5500</v>
      </c>
      <c r="O23" s="65">
        <f t="shared" si="4"/>
        <v>6</v>
      </c>
      <c r="S23" s="124" t="s">
        <v>6</v>
      </c>
      <c r="T23" s="125">
        <v>4500</v>
      </c>
    </row>
    <row r="24" spans="1:22" s="65" customFormat="1" ht="18" customHeight="1" x14ac:dyDescent="0.3">
      <c r="A24" s="56">
        <v>23</v>
      </c>
      <c r="B24" s="113" t="s">
        <v>65</v>
      </c>
      <c r="C24" s="56" t="s">
        <v>19</v>
      </c>
      <c r="D24" s="66">
        <v>7778996255</v>
      </c>
      <c r="E24" s="58" t="s">
        <v>63</v>
      </c>
      <c r="F24" s="59"/>
      <c r="G24" s="60" t="s">
        <v>66</v>
      </c>
      <c r="H24" s="61" t="s">
        <v>64</v>
      </c>
      <c r="I24" s="62"/>
      <c r="J24" s="63">
        <f t="shared" si="0"/>
        <v>6000</v>
      </c>
      <c r="K24" s="63">
        <f t="shared" si="1"/>
        <v>0</v>
      </c>
      <c r="L24" s="63">
        <f t="shared" si="2"/>
        <v>6000</v>
      </c>
      <c r="M24" s="64">
        <f>SUMIF('FEE ENTRY'!$C$3:$C$202,B24,'FEE ENTRY'!$I$3:$I$202)</f>
        <v>0</v>
      </c>
      <c r="N24" s="64">
        <f t="shared" si="3"/>
        <v>6000</v>
      </c>
      <c r="O24" s="65">
        <f t="shared" si="4"/>
        <v>7</v>
      </c>
      <c r="S24" s="124" t="s">
        <v>15</v>
      </c>
      <c r="T24" s="125">
        <v>5500</v>
      </c>
    </row>
    <row r="25" spans="1:22" s="65" customFormat="1" ht="18" customHeight="1" x14ac:dyDescent="0.3">
      <c r="A25" s="56">
        <v>24</v>
      </c>
      <c r="B25" s="72" t="s">
        <v>106</v>
      </c>
      <c r="C25" s="56" t="s">
        <v>19</v>
      </c>
      <c r="D25" s="66">
        <v>9558107071</v>
      </c>
      <c r="E25" s="58" t="s">
        <v>72</v>
      </c>
      <c r="F25" s="59"/>
      <c r="G25" s="73" t="s">
        <v>104</v>
      </c>
      <c r="H25" s="61" t="s">
        <v>105</v>
      </c>
      <c r="I25" s="56"/>
      <c r="J25" s="63">
        <f t="shared" si="0"/>
        <v>6000</v>
      </c>
      <c r="K25" s="63">
        <f t="shared" si="1"/>
        <v>600</v>
      </c>
      <c r="L25" s="63">
        <f t="shared" si="2"/>
        <v>5400</v>
      </c>
      <c r="M25" s="64">
        <f>SUMIF('FEE ENTRY'!$C$3:$C$202,B25,'FEE ENTRY'!$I$3:$I$202)</f>
        <v>0</v>
      </c>
      <c r="N25" s="64">
        <f t="shared" si="3"/>
        <v>5400</v>
      </c>
      <c r="O25" s="65">
        <f t="shared" si="4"/>
        <v>7</v>
      </c>
      <c r="S25" s="124" t="s">
        <v>19</v>
      </c>
      <c r="T25" s="125">
        <v>6000</v>
      </c>
    </row>
    <row r="26" spans="1:22" s="65" customFormat="1" ht="18" customHeight="1" x14ac:dyDescent="0.3">
      <c r="A26" s="56">
        <v>25</v>
      </c>
      <c r="B26" s="72" t="s">
        <v>111</v>
      </c>
      <c r="C26" s="56" t="s">
        <v>19</v>
      </c>
      <c r="D26" s="66">
        <v>9974633556</v>
      </c>
      <c r="E26" s="58" t="s">
        <v>72</v>
      </c>
      <c r="F26" s="59"/>
      <c r="G26" s="73" t="s">
        <v>112</v>
      </c>
      <c r="H26" s="61" t="s">
        <v>77</v>
      </c>
      <c r="I26" s="56"/>
      <c r="J26" s="63">
        <f>VLOOKUP(C26,$S$18:$T$31,2,0)</f>
        <v>6000</v>
      </c>
      <c r="K26" s="63">
        <f t="shared" si="1"/>
        <v>600</v>
      </c>
      <c r="L26" s="63">
        <f t="shared" si="2"/>
        <v>5400</v>
      </c>
      <c r="M26" s="64">
        <f>SUMIF('FEE ENTRY'!$C$3:$C$202,B26,'FEE ENTRY'!$I$3:$I$202)</f>
        <v>0</v>
      </c>
      <c r="N26" s="64">
        <f t="shared" si="3"/>
        <v>5400</v>
      </c>
      <c r="O26" s="65">
        <f t="shared" si="4"/>
        <v>7</v>
      </c>
      <c r="S26" s="124" t="s">
        <v>5</v>
      </c>
      <c r="T26" s="125">
        <v>7000</v>
      </c>
    </row>
    <row r="27" spans="1:22" s="65" customFormat="1" ht="18" customHeight="1" x14ac:dyDescent="0.3">
      <c r="A27" s="56">
        <v>26</v>
      </c>
      <c r="B27" s="72" t="s">
        <v>128</v>
      </c>
      <c r="C27" s="56" t="s">
        <v>19</v>
      </c>
      <c r="D27" s="66">
        <v>7600768059</v>
      </c>
      <c r="E27" s="58" t="s">
        <v>63</v>
      </c>
      <c r="F27" s="59"/>
      <c r="G27" s="73" t="s">
        <v>129</v>
      </c>
      <c r="H27" s="61" t="s">
        <v>130</v>
      </c>
      <c r="I27" s="56"/>
      <c r="J27" s="63">
        <f t="shared" si="0"/>
        <v>6000</v>
      </c>
      <c r="K27" s="63">
        <f t="shared" si="1"/>
        <v>0</v>
      </c>
      <c r="L27" s="63">
        <f t="shared" si="2"/>
        <v>6000</v>
      </c>
      <c r="M27" s="64">
        <f>IF(ISBLANK(B27),"",SUMIF('FEE ENTRY'!$C$3:$C$202,B27,'FEE ENTRY'!$I$3:$I$202))</f>
        <v>0</v>
      </c>
      <c r="N27" s="64">
        <f t="shared" si="3"/>
        <v>6000</v>
      </c>
      <c r="O27" s="65">
        <f t="shared" si="4"/>
        <v>7</v>
      </c>
      <c r="S27" s="124" t="s">
        <v>20</v>
      </c>
      <c r="T27" s="125">
        <v>9000</v>
      </c>
    </row>
    <row r="28" spans="1:22" s="65" customFormat="1" ht="18" customHeight="1" x14ac:dyDescent="0.3">
      <c r="A28" s="56">
        <v>27</v>
      </c>
      <c r="B28" s="72" t="s">
        <v>131</v>
      </c>
      <c r="C28" s="56" t="s">
        <v>19</v>
      </c>
      <c r="D28" s="66">
        <v>9537791588</v>
      </c>
      <c r="E28" s="58" t="s">
        <v>72</v>
      </c>
      <c r="F28" s="59"/>
      <c r="G28" s="73" t="s">
        <v>132</v>
      </c>
      <c r="H28" s="61" t="s">
        <v>77</v>
      </c>
      <c r="I28" s="56"/>
      <c r="J28" s="63">
        <f t="shared" si="0"/>
        <v>6000</v>
      </c>
      <c r="K28" s="63">
        <f t="shared" si="1"/>
        <v>600</v>
      </c>
      <c r="L28" s="63">
        <f t="shared" si="2"/>
        <v>5400</v>
      </c>
      <c r="M28" s="64">
        <f>IF(ISBLANK(B28),"",SUMIF('FEE ENTRY'!$C$3:$C$202,B28,'FEE ENTRY'!$I$3:$I$202))</f>
        <v>0</v>
      </c>
      <c r="N28" s="64">
        <f t="shared" si="3"/>
        <v>5400</v>
      </c>
      <c r="O28" s="65">
        <f t="shared" si="4"/>
        <v>7</v>
      </c>
      <c r="S28" s="124" t="s">
        <v>17</v>
      </c>
      <c r="T28" s="125">
        <v>12000</v>
      </c>
    </row>
    <row r="29" spans="1:22" s="65" customFormat="1" ht="18" customHeight="1" x14ac:dyDescent="0.3">
      <c r="A29" s="56">
        <v>28</v>
      </c>
      <c r="B29" s="72" t="s">
        <v>157</v>
      </c>
      <c r="C29" s="56" t="s">
        <v>19</v>
      </c>
      <c r="D29" s="66">
        <v>9898359914</v>
      </c>
      <c r="E29" s="58" t="s">
        <v>63</v>
      </c>
      <c r="F29" s="59"/>
      <c r="G29" s="73" t="s">
        <v>93</v>
      </c>
      <c r="H29" s="61" t="s">
        <v>64</v>
      </c>
      <c r="I29" s="56"/>
      <c r="J29" s="63">
        <f t="shared" si="0"/>
        <v>6000</v>
      </c>
      <c r="K29" s="63">
        <f t="shared" si="1"/>
        <v>0</v>
      </c>
      <c r="L29" s="63">
        <f t="shared" si="2"/>
        <v>6000</v>
      </c>
      <c r="M29" s="64">
        <f>IF(ISBLANK(B29),"",SUMIF('FEE ENTRY'!$C$3:$C$202,B29,'FEE ENTRY'!$I$3:$I$202))</f>
        <v>0</v>
      </c>
      <c r="N29" s="64">
        <f t="shared" si="3"/>
        <v>6000</v>
      </c>
      <c r="O29" s="65">
        <f t="shared" si="4"/>
        <v>7</v>
      </c>
      <c r="S29" s="124" t="s">
        <v>21</v>
      </c>
      <c r="T29" s="125">
        <v>11000</v>
      </c>
    </row>
    <row r="30" spans="1:22" s="65" customFormat="1" ht="18" customHeight="1" thickBot="1" x14ac:dyDescent="0.35">
      <c r="A30" s="56">
        <v>29</v>
      </c>
      <c r="B30" s="72" t="s">
        <v>82</v>
      </c>
      <c r="C30" s="56" t="s">
        <v>5</v>
      </c>
      <c r="D30" s="66">
        <v>7984122443</v>
      </c>
      <c r="E30" s="58" t="s">
        <v>63</v>
      </c>
      <c r="F30" s="59"/>
      <c r="G30" s="73" t="s">
        <v>73</v>
      </c>
      <c r="H30" s="61" t="s">
        <v>81</v>
      </c>
      <c r="I30" s="56"/>
      <c r="J30" s="63">
        <f t="shared" si="0"/>
        <v>7000</v>
      </c>
      <c r="K30" s="63">
        <f t="shared" si="1"/>
        <v>0</v>
      </c>
      <c r="L30" s="63">
        <f t="shared" si="2"/>
        <v>7000</v>
      </c>
      <c r="M30" s="64">
        <f>IF(ISBLANK(B30),"",SUMIF('FEE ENTRY'!$C$3:$C$202,B30,'FEE ENTRY'!$I$3:$I$202))</f>
        <v>0</v>
      </c>
      <c r="N30" s="64">
        <f t="shared" si="3"/>
        <v>7000</v>
      </c>
      <c r="O30" s="65">
        <f t="shared" si="4"/>
        <v>8</v>
      </c>
      <c r="S30" s="126" t="s">
        <v>22</v>
      </c>
      <c r="T30" s="127">
        <v>14000</v>
      </c>
    </row>
    <row r="31" spans="1:22" s="65" customFormat="1" ht="18" customHeight="1" x14ac:dyDescent="0.3">
      <c r="A31" s="56">
        <v>30</v>
      </c>
      <c r="B31" s="72" t="s">
        <v>86</v>
      </c>
      <c r="C31" s="56" t="s">
        <v>5</v>
      </c>
      <c r="D31" s="66">
        <v>7046110654</v>
      </c>
      <c r="E31" s="58" t="s">
        <v>72</v>
      </c>
      <c r="F31" s="59"/>
      <c r="G31" s="73" t="s">
        <v>87</v>
      </c>
      <c r="H31" s="61" t="s">
        <v>64</v>
      </c>
      <c r="I31" s="56"/>
      <c r="J31" s="63">
        <f t="shared" si="0"/>
        <v>7000</v>
      </c>
      <c r="K31" s="63">
        <f t="shared" si="1"/>
        <v>700</v>
      </c>
      <c r="L31" s="63">
        <f t="shared" si="2"/>
        <v>6300</v>
      </c>
      <c r="M31" s="64">
        <f>IF(ISBLANK(B31),"",SUMIF('FEE ENTRY'!$C$3:$C$202,B31,'FEE ENTRY'!$I$3:$I$202))</f>
        <v>0</v>
      </c>
      <c r="N31" s="64">
        <f t="shared" si="3"/>
        <v>6300</v>
      </c>
      <c r="O31" s="65">
        <f t="shared" si="4"/>
        <v>8</v>
      </c>
      <c r="S31" s="128"/>
      <c r="T31" s="121"/>
    </row>
    <row r="32" spans="1:22" s="65" customFormat="1" ht="18" customHeight="1" x14ac:dyDescent="0.25">
      <c r="A32" s="56">
        <v>31</v>
      </c>
      <c r="B32" s="72" t="s">
        <v>134</v>
      </c>
      <c r="C32" s="56" t="s">
        <v>5</v>
      </c>
      <c r="D32" s="66">
        <v>9723326757</v>
      </c>
      <c r="E32" s="58" t="s">
        <v>72</v>
      </c>
      <c r="F32" s="59"/>
      <c r="G32" s="73" t="s">
        <v>108</v>
      </c>
      <c r="H32" s="61" t="s">
        <v>109</v>
      </c>
      <c r="I32" s="56"/>
      <c r="J32" s="63">
        <f t="shared" si="0"/>
        <v>7000</v>
      </c>
      <c r="K32" s="63">
        <f t="shared" si="1"/>
        <v>700</v>
      </c>
      <c r="L32" s="63">
        <f t="shared" si="2"/>
        <v>6300</v>
      </c>
      <c r="M32" s="64">
        <f>IF(ISBLANK(B32),"",SUMIF('FEE ENTRY'!$C$3:$C$202,B32,'FEE ENTRY'!$I$3:$I$202))</f>
        <v>0</v>
      </c>
      <c r="N32" s="64">
        <f t="shared" si="3"/>
        <v>6300</v>
      </c>
      <c r="O32" s="65">
        <f t="shared" si="4"/>
        <v>8</v>
      </c>
    </row>
    <row r="33" spans="1:15" s="65" customFormat="1" ht="18" customHeight="1" x14ac:dyDescent="0.25">
      <c r="A33" s="56">
        <v>32</v>
      </c>
      <c r="B33" s="72" t="s">
        <v>135</v>
      </c>
      <c r="C33" s="56" t="s">
        <v>5</v>
      </c>
      <c r="D33" s="66">
        <v>7861848761</v>
      </c>
      <c r="E33" s="58" t="s">
        <v>63</v>
      </c>
      <c r="F33" s="59"/>
      <c r="G33" s="73" t="s">
        <v>136</v>
      </c>
      <c r="H33" s="61" t="s">
        <v>77</v>
      </c>
      <c r="I33" s="56"/>
      <c r="J33" s="63">
        <f t="shared" si="0"/>
        <v>7000</v>
      </c>
      <c r="K33" s="63">
        <f t="shared" si="1"/>
        <v>0</v>
      </c>
      <c r="L33" s="63">
        <f t="shared" si="2"/>
        <v>7000</v>
      </c>
      <c r="M33" s="64">
        <f>IF(ISBLANK(B33),"",SUMIF('FEE ENTRY'!$C$3:$C$202,B33,'FEE ENTRY'!$I$3:$I$202))</f>
        <v>0</v>
      </c>
      <c r="N33" s="64">
        <f t="shared" si="3"/>
        <v>7000</v>
      </c>
      <c r="O33" s="65">
        <f t="shared" si="4"/>
        <v>8</v>
      </c>
    </row>
    <row r="34" spans="1:15" s="65" customFormat="1" ht="18" customHeight="1" x14ac:dyDescent="0.25">
      <c r="A34" s="56">
        <v>33</v>
      </c>
      <c r="B34" s="72" t="s">
        <v>137</v>
      </c>
      <c r="C34" s="56" t="s">
        <v>5</v>
      </c>
      <c r="D34" s="66">
        <v>8758148909</v>
      </c>
      <c r="E34" s="58" t="s">
        <v>63</v>
      </c>
      <c r="F34" s="59"/>
      <c r="G34" s="73" t="s">
        <v>114</v>
      </c>
      <c r="H34" s="61" t="s">
        <v>115</v>
      </c>
      <c r="I34" s="56"/>
      <c r="J34" s="63">
        <f t="shared" ref="J34:J52" si="8">VLOOKUP(C34,$S$18:$T$31,2,0)</f>
        <v>7000</v>
      </c>
      <c r="K34" s="63">
        <f t="shared" ref="K34:K52" si="9">IF(E34="girl",J34*10%,0)</f>
        <v>0</v>
      </c>
      <c r="L34" s="63">
        <f t="shared" ref="L34:L52" si="10">J34-K34</f>
        <v>7000</v>
      </c>
      <c r="M34" s="64">
        <f>IF(ISBLANK(B34),"",SUMIF('FEE ENTRY'!$C$3:$C$202,B34,'FEE ENTRY'!$I$3:$I$202))</f>
        <v>0</v>
      </c>
      <c r="N34" s="64">
        <f t="shared" ref="N34:N52" si="11">L34-M34</f>
        <v>7000</v>
      </c>
      <c r="O34" s="65">
        <f t="shared" ref="O34:O65" si="12">IF(C34="K.G.",0,IF(C34="1st",1,IF(C34="2nd",2,IF(C34="3rd",3,IF(C34="4th",4,IF(C34="5th",5,IF(C34="6th",6,IF(C34="7th",7,IF(C34="8th",8,IF(C34="9th",9,IF(C34="10th",10,IF(C34="11th",11,IF(C34="12th",12,"")))))))))))))</f>
        <v>8</v>
      </c>
    </row>
    <row r="35" spans="1:15" s="65" customFormat="1" ht="18" customHeight="1" x14ac:dyDescent="0.25">
      <c r="A35" s="56">
        <v>34</v>
      </c>
      <c r="B35" s="72" t="s">
        <v>138</v>
      </c>
      <c r="C35" s="56" t="s">
        <v>5</v>
      </c>
      <c r="D35" s="66">
        <v>9558776923</v>
      </c>
      <c r="E35" s="58" t="s">
        <v>72</v>
      </c>
      <c r="F35" s="59"/>
      <c r="G35" s="73" t="s">
        <v>139</v>
      </c>
      <c r="H35" s="61" t="s">
        <v>64</v>
      </c>
      <c r="I35" s="56"/>
      <c r="J35" s="63">
        <f t="shared" si="8"/>
        <v>7000</v>
      </c>
      <c r="K35" s="63">
        <f t="shared" si="9"/>
        <v>700</v>
      </c>
      <c r="L35" s="63">
        <f t="shared" si="10"/>
        <v>6300</v>
      </c>
      <c r="M35" s="64">
        <f>IF(ISBLANK(B35),"",SUMIF('FEE ENTRY'!$C$3:$C$202,B35,'FEE ENTRY'!$I$3:$I$202))</f>
        <v>0</v>
      </c>
      <c r="N35" s="64">
        <f t="shared" si="11"/>
        <v>6300</v>
      </c>
      <c r="O35" s="65">
        <f t="shared" si="12"/>
        <v>8</v>
      </c>
    </row>
    <row r="36" spans="1:15" s="65" customFormat="1" ht="18" customHeight="1" x14ac:dyDescent="0.25">
      <c r="A36" s="56">
        <v>35</v>
      </c>
      <c r="B36" s="72" t="s">
        <v>140</v>
      </c>
      <c r="C36" s="56" t="s">
        <v>20</v>
      </c>
      <c r="D36" s="66">
        <v>9998712399</v>
      </c>
      <c r="E36" s="58" t="s">
        <v>72</v>
      </c>
      <c r="F36" s="59"/>
      <c r="G36" s="73" t="s">
        <v>141</v>
      </c>
      <c r="H36" s="61" t="s">
        <v>64</v>
      </c>
      <c r="I36" s="56"/>
      <c r="J36" s="63">
        <f t="shared" si="8"/>
        <v>9000</v>
      </c>
      <c r="K36" s="63">
        <f t="shared" si="9"/>
        <v>900</v>
      </c>
      <c r="L36" s="63">
        <f t="shared" si="10"/>
        <v>8100</v>
      </c>
      <c r="M36" s="64">
        <f>IF(ISBLANK(B36),"",SUMIF('FEE ENTRY'!$C$3:$C$202,B36,'FEE ENTRY'!$I$3:$I$202))</f>
        <v>0</v>
      </c>
      <c r="N36" s="64">
        <f t="shared" si="11"/>
        <v>8100</v>
      </c>
      <c r="O36" s="65">
        <f t="shared" si="12"/>
        <v>9</v>
      </c>
    </row>
    <row r="37" spans="1:15" s="65" customFormat="1" ht="18" customHeight="1" x14ac:dyDescent="0.25">
      <c r="A37" s="56">
        <v>36</v>
      </c>
      <c r="B37" s="72" t="s">
        <v>142</v>
      </c>
      <c r="C37" s="56" t="s">
        <v>20</v>
      </c>
      <c r="D37" s="66">
        <v>9998554482</v>
      </c>
      <c r="E37" s="58" t="s">
        <v>72</v>
      </c>
      <c r="F37" s="59"/>
      <c r="G37" s="73" t="s">
        <v>143</v>
      </c>
      <c r="H37" s="61" t="s">
        <v>77</v>
      </c>
      <c r="I37" s="56"/>
      <c r="J37" s="63">
        <f t="shared" si="8"/>
        <v>9000</v>
      </c>
      <c r="K37" s="63">
        <f t="shared" si="9"/>
        <v>900</v>
      </c>
      <c r="L37" s="63">
        <f t="shared" si="10"/>
        <v>8100</v>
      </c>
      <c r="M37" s="64">
        <f>IF(ISBLANK(B37),"",SUMIF('FEE ENTRY'!$C$3:$C$202,B37,'FEE ENTRY'!$I$3:$I$202))</f>
        <v>0</v>
      </c>
      <c r="N37" s="64">
        <f t="shared" si="11"/>
        <v>8100</v>
      </c>
      <c r="O37" s="65">
        <f t="shared" si="12"/>
        <v>9</v>
      </c>
    </row>
    <row r="38" spans="1:15" s="65" customFormat="1" ht="18" customHeight="1" x14ac:dyDescent="0.25">
      <c r="A38" s="56">
        <v>37</v>
      </c>
      <c r="B38" s="72" t="s">
        <v>144</v>
      </c>
      <c r="C38" s="56" t="s">
        <v>20</v>
      </c>
      <c r="D38" s="66">
        <v>9574160929</v>
      </c>
      <c r="E38" s="58" t="s">
        <v>63</v>
      </c>
      <c r="F38" s="59"/>
      <c r="G38" s="73" t="s">
        <v>145</v>
      </c>
      <c r="H38" s="61" t="s">
        <v>146</v>
      </c>
      <c r="I38" s="56"/>
      <c r="J38" s="63">
        <f t="shared" si="8"/>
        <v>9000</v>
      </c>
      <c r="K38" s="63">
        <f t="shared" si="9"/>
        <v>0</v>
      </c>
      <c r="L38" s="63">
        <f t="shared" si="10"/>
        <v>9000</v>
      </c>
      <c r="M38" s="64">
        <f>IF(ISBLANK(B38),"",SUMIF('FEE ENTRY'!$C$3:$C$202,B38,'FEE ENTRY'!$I$3:$I$202))</f>
        <v>0</v>
      </c>
      <c r="N38" s="64">
        <f t="shared" si="11"/>
        <v>9000</v>
      </c>
      <c r="O38" s="65">
        <f t="shared" si="12"/>
        <v>9</v>
      </c>
    </row>
    <row r="39" spans="1:15" s="65" customFormat="1" ht="18" customHeight="1" x14ac:dyDescent="0.25">
      <c r="A39" s="56">
        <v>38</v>
      </c>
      <c r="B39" s="72" t="s">
        <v>78</v>
      </c>
      <c r="C39" s="56" t="s">
        <v>17</v>
      </c>
      <c r="D39" s="66">
        <v>9429418784</v>
      </c>
      <c r="E39" s="58" t="s">
        <v>63</v>
      </c>
      <c r="F39" s="59"/>
      <c r="G39" s="73" t="s">
        <v>79</v>
      </c>
      <c r="H39" s="61" t="s">
        <v>77</v>
      </c>
      <c r="I39" s="62"/>
      <c r="J39" s="63">
        <f t="shared" si="8"/>
        <v>12000</v>
      </c>
      <c r="K39" s="63">
        <f t="shared" si="9"/>
        <v>0</v>
      </c>
      <c r="L39" s="63">
        <f t="shared" si="10"/>
        <v>12000</v>
      </c>
      <c r="M39" s="64">
        <f>IF(ISBLANK(B39),"",SUMIF('FEE ENTRY'!$C$3:$C$202,B39,'FEE ENTRY'!$I$3:$I$202))</f>
        <v>0</v>
      </c>
      <c r="N39" s="64">
        <f t="shared" si="11"/>
        <v>12000</v>
      </c>
      <c r="O39" s="65">
        <f t="shared" si="12"/>
        <v>10</v>
      </c>
    </row>
    <row r="40" spans="1:15" s="65" customFormat="1" ht="18" customHeight="1" x14ac:dyDescent="0.25">
      <c r="A40" s="56">
        <v>39</v>
      </c>
      <c r="B40" s="72" t="s">
        <v>88</v>
      </c>
      <c r="C40" s="56" t="s">
        <v>17</v>
      </c>
      <c r="D40" s="66">
        <v>9824936741</v>
      </c>
      <c r="E40" s="58" t="s">
        <v>63</v>
      </c>
      <c r="F40" s="59"/>
      <c r="G40" s="73" t="s">
        <v>89</v>
      </c>
      <c r="H40" s="61" t="s">
        <v>77</v>
      </c>
      <c r="I40" s="56"/>
      <c r="J40" s="63">
        <f t="shared" si="8"/>
        <v>12000</v>
      </c>
      <c r="K40" s="63">
        <f t="shared" si="9"/>
        <v>0</v>
      </c>
      <c r="L40" s="63">
        <f t="shared" si="10"/>
        <v>12000</v>
      </c>
      <c r="M40" s="64">
        <f>IF(ISBLANK(B40),"",SUMIF('FEE ENTRY'!$C$3:$C$202,B40,'FEE ENTRY'!$I$3:$I$202))</f>
        <v>0</v>
      </c>
      <c r="N40" s="64">
        <f t="shared" si="11"/>
        <v>12000</v>
      </c>
      <c r="O40" s="65">
        <f t="shared" si="12"/>
        <v>10</v>
      </c>
    </row>
    <row r="41" spans="1:15" s="65" customFormat="1" ht="18" customHeight="1" x14ac:dyDescent="0.25">
      <c r="A41" s="56">
        <v>40</v>
      </c>
      <c r="B41" s="72" t="s">
        <v>97</v>
      </c>
      <c r="C41" s="56" t="s">
        <v>17</v>
      </c>
      <c r="D41" s="66">
        <v>9689960373</v>
      </c>
      <c r="E41" s="58" t="s">
        <v>72</v>
      </c>
      <c r="F41" s="59"/>
      <c r="G41" s="73" t="s">
        <v>98</v>
      </c>
      <c r="H41" s="61" t="s">
        <v>99</v>
      </c>
      <c r="I41" s="56"/>
      <c r="J41" s="63">
        <f t="shared" si="8"/>
        <v>12000</v>
      </c>
      <c r="K41" s="63">
        <f t="shared" si="9"/>
        <v>1200</v>
      </c>
      <c r="L41" s="63">
        <f t="shared" si="10"/>
        <v>10800</v>
      </c>
      <c r="M41" s="64">
        <f>IF(ISBLANK(B41),"",SUMIF('FEE ENTRY'!$C$3:$C$202,B41,'FEE ENTRY'!$I$3:$I$202))</f>
        <v>0</v>
      </c>
      <c r="N41" s="64">
        <f t="shared" si="11"/>
        <v>10800</v>
      </c>
      <c r="O41" s="65">
        <f t="shared" si="12"/>
        <v>10</v>
      </c>
    </row>
    <row r="42" spans="1:15" s="65" customFormat="1" ht="18" customHeight="1" x14ac:dyDescent="0.25">
      <c r="A42" s="56">
        <v>41</v>
      </c>
      <c r="B42" s="72" t="s">
        <v>100</v>
      </c>
      <c r="C42" s="56" t="s">
        <v>17</v>
      </c>
      <c r="D42" s="66">
        <v>9265148186</v>
      </c>
      <c r="E42" s="58" t="s">
        <v>63</v>
      </c>
      <c r="F42" s="59"/>
      <c r="G42" s="73" t="s">
        <v>101</v>
      </c>
      <c r="H42" s="61" t="s">
        <v>102</v>
      </c>
      <c r="I42" s="56"/>
      <c r="J42" s="63">
        <f t="shared" si="8"/>
        <v>12000</v>
      </c>
      <c r="K42" s="63">
        <f t="shared" si="9"/>
        <v>0</v>
      </c>
      <c r="L42" s="63">
        <f t="shared" si="10"/>
        <v>12000</v>
      </c>
      <c r="M42" s="64">
        <f>IF(ISBLANK(B42),"",SUMIF('FEE ENTRY'!$C$3:$C$202,B42,'FEE ENTRY'!$I$3:$I$202))</f>
        <v>0</v>
      </c>
      <c r="N42" s="64">
        <f t="shared" si="11"/>
        <v>12000</v>
      </c>
      <c r="O42" s="65">
        <f t="shared" si="12"/>
        <v>10</v>
      </c>
    </row>
    <row r="43" spans="1:15" s="65" customFormat="1" ht="18" customHeight="1" x14ac:dyDescent="0.25">
      <c r="A43" s="56">
        <v>42</v>
      </c>
      <c r="B43" s="72" t="s">
        <v>147</v>
      </c>
      <c r="C43" s="56" t="s">
        <v>17</v>
      </c>
      <c r="D43" s="66">
        <v>9316103639</v>
      </c>
      <c r="E43" s="58" t="s">
        <v>63</v>
      </c>
      <c r="F43" s="59"/>
      <c r="G43" s="73" t="s">
        <v>122</v>
      </c>
      <c r="H43" s="61" t="s">
        <v>148</v>
      </c>
      <c r="I43" s="56"/>
      <c r="J43" s="63">
        <f t="shared" si="8"/>
        <v>12000</v>
      </c>
      <c r="K43" s="63">
        <f t="shared" si="9"/>
        <v>0</v>
      </c>
      <c r="L43" s="63">
        <f t="shared" si="10"/>
        <v>12000</v>
      </c>
      <c r="M43" s="64">
        <f>IF(ISBLANK(B43),"",SUMIF('FEE ENTRY'!$C$3:$C$202,B43,'FEE ENTRY'!$I$3:$I$202))</f>
        <v>0</v>
      </c>
      <c r="N43" s="64">
        <f t="shared" si="11"/>
        <v>12000</v>
      </c>
      <c r="O43" s="65">
        <f t="shared" si="12"/>
        <v>10</v>
      </c>
    </row>
    <row r="44" spans="1:15" s="65" customFormat="1" ht="18" customHeight="1" x14ac:dyDescent="0.25">
      <c r="A44" s="56">
        <v>43</v>
      </c>
      <c r="B44" s="72" t="s">
        <v>149</v>
      </c>
      <c r="C44" s="56" t="s">
        <v>17</v>
      </c>
      <c r="D44" s="66">
        <v>9316103639</v>
      </c>
      <c r="E44" s="58" t="s">
        <v>63</v>
      </c>
      <c r="F44" s="59"/>
      <c r="G44" s="73" t="s">
        <v>122</v>
      </c>
      <c r="H44" s="61" t="s">
        <v>148</v>
      </c>
      <c r="I44" s="56"/>
      <c r="J44" s="63">
        <f t="shared" si="8"/>
        <v>12000</v>
      </c>
      <c r="K44" s="63">
        <f t="shared" si="9"/>
        <v>0</v>
      </c>
      <c r="L44" s="63">
        <f t="shared" si="10"/>
        <v>12000</v>
      </c>
      <c r="M44" s="64">
        <f>IF(ISBLANK(B44),"",SUMIF('FEE ENTRY'!$C$3:$C$202,B44,'FEE ENTRY'!$I$3:$I$202))</f>
        <v>0</v>
      </c>
      <c r="N44" s="64">
        <f t="shared" si="11"/>
        <v>12000</v>
      </c>
      <c r="O44" s="65">
        <f t="shared" si="12"/>
        <v>10</v>
      </c>
    </row>
    <row r="45" spans="1:15" s="65" customFormat="1" ht="18" customHeight="1" x14ac:dyDescent="0.25">
      <c r="A45" s="56">
        <v>44</v>
      </c>
      <c r="B45" s="72" t="s">
        <v>150</v>
      </c>
      <c r="C45" s="56" t="s">
        <v>17</v>
      </c>
      <c r="D45" s="66">
        <v>8200605304</v>
      </c>
      <c r="E45" s="58" t="s">
        <v>72</v>
      </c>
      <c r="F45" s="59"/>
      <c r="G45" s="73" t="s">
        <v>151</v>
      </c>
      <c r="H45" s="61" t="s">
        <v>85</v>
      </c>
      <c r="I45" s="56"/>
      <c r="J45" s="63">
        <f t="shared" si="8"/>
        <v>12000</v>
      </c>
      <c r="K45" s="63">
        <f t="shared" si="9"/>
        <v>1200</v>
      </c>
      <c r="L45" s="63">
        <f t="shared" si="10"/>
        <v>10800</v>
      </c>
      <c r="M45" s="64">
        <f>IF(ISBLANK(B45),"",SUMIF('FEE ENTRY'!$C$3:$C$202,B45,'FEE ENTRY'!$I$3:$I$202))</f>
        <v>0</v>
      </c>
      <c r="N45" s="64">
        <f t="shared" si="11"/>
        <v>10800</v>
      </c>
      <c r="O45" s="65">
        <f t="shared" si="12"/>
        <v>10</v>
      </c>
    </row>
    <row r="46" spans="1:15" s="65" customFormat="1" ht="18" customHeight="1" x14ac:dyDescent="0.25">
      <c r="A46" s="56">
        <v>45</v>
      </c>
      <c r="B46" s="72" t="s">
        <v>152</v>
      </c>
      <c r="C46" s="56" t="s">
        <v>17</v>
      </c>
      <c r="D46" s="66">
        <v>8758555925</v>
      </c>
      <c r="E46" s="58" t="s">
        <v>63</v>
      </c>
      <c r="F46" s="59"/>
      <c r="G46" s="73" t="s">
        <v>119</v>
      </c>
      <c r="H46" s="61" t="s">
        <v>102</v>
      </c>
      <c r="I46" s="56"/>
      <c r="J46" s="63">
        <f t="shared" si="8"/>
        <v>12000</v>
      </c>
      <c r="K46" s="63">
        <f t="shared" si="9"/>
        <v>0</v>
      </c>
      <c r="L46" s="63">
        <f t="shared" si="10"/>
        <v>12000</v>
      </c>
      <c r="M46" s="64">
        <f>IF(ISBLANK(B46),"",SUMIF('FEE ENTRY'!$C$3:$C$202,B46,'FEE ENTRY'!$I$3:$I$202))</f>
        <v>0</v>
      </c>
      <c r="N46" s="64">
        <f t="shared" si="11"/>
        <v>12000</v>
      </c>
      <c r="O46" s="65">
        <f t="shared" si="12"/>
        <v>10</v>
      </c>
    </row>
    <row r="47" spans="1:15" s="65" customFormat="1" ht="18" customHeight="1" x14ac:dyDescent="0.25">
      <c r="A47" s="56">
        <v>46</v>
      </c>
      <c r="B47" s="72" t="s">
        <v>155</v>
      </c>
      <c r="C47" s="56" t="s">
        <v>17</v>
      </c>
      <c r="D47" s="66">
        <v>8160579655</v>
      </c>
      <c r="E47" s="58" t="s">
        <v>72</v>
      </c>
      <c r="F47" s="59"/>
      <c r="G47" s="73" t="s">
        <v>93</v>
      </c>
      <c r="H47" s="61" t="s">
        <v>85</v>
      </c>
      <c r="I47" s="56"/>
      <c r="J47" s="63">
        <f t="shared" si="8"/>
        <v>12000</v>
      </c>
      <c r="K47" s="63">
        <f t="shared" si="9"/>
        <v>1200</v>
      </c>
      <c r="L47" s="63">
        <f t="shared" si="10"/>
        <v>10800</v>
      </c>
      <c r="M47" s="64">
        <f>IF(ISBLANK(B47),"",SUMIF('FEE ENTRY'!$C$3:$C$202,B47,'FEE ENTRY'!$I$3:$I$202))</f>
        <v>0</v>
      </c>
      <c r="N47" s="64">
        <f t="shared" si="11"/>
        <v>10800</v>
      </c>
      <c r="O47" s="65">
        <f t="shared" si="12"/>
        <v>10</v>
      </c>
    </row>
    <row r="48" spans="1:15" s="65" customFormat="1" ht="18" customHeight="1" x14ac:dyDescent="0.25">
      <c r="A48" s="56">
        <v>47</v>
      </c>
      <c r="B48" s="72" t="s">
        <v>83</v>
      </c>
      <c r="C48" s="56" t="s">
        <v>22</v>
      </c>
      <c r="D48" s="66">
        <v>8155917594</v>
      </c>
      <c r="E48" s="58" t="s">
        <v>72</v>
      </c>
      <c r="F48" s="59"/>
      <c r="G48" s="73" t="s">
        <v>84</v>
      </c>
      <c r="H48" s="61" t="s">
        <v>85</v>
      </c>
      <c r="I48" s="56"/>
      <c r="J48" s="63">
        <f t="shared" si="8"/>
        <v>14000</v>
      </c>
      <c r="K48" s="63">
        <f t="shared" si="9"/>
        <v>1400</v>
      </c>
      <c r="L48" s="63">
        <f t="shared" si="10"/>
        <v>12600</v>
      </c>
      <c r="M48" s="64">
        <f>IF(ISBLANK(B48),"",SUMIF('FEE ENTRY'!$C$3:$C$202,B48,'FEE ENTRY'!$I$3:$I$202))</f>
        <v>0</v>
      </c>
      <c r="N48" s="64">
        <f t="shared" si="11"/>
        <v>12600</v>
      </c>
      <c r="O48" s="65">
        <f t="shared" si="12"/>
        <v>12</v>
      </c>
    </row>
    <row r="49" spans="1:15" s="65" customFormat="1" ht="18" customHeight="1" x14ac:dyDescent="0.25">
      <c r="A49" s="56">
        <v>48</v>
      </c>
      <c r="B49" s="72" t="s">
        <v>90</v>
      </c>
      <c r="C49" s="56" t="s">
        <v>22</v>
      </c>
      <c r="D49" s="66">
        <v>8735853637</v>
      </c>
      <c r="E49" s="58" t="s">
        <v>72</v>
      </c>
      <c r="F49" s="59"/>
      <c r="G49" s="73" t="s">
        <v>91</v>
      </c>
      <c r="H49" s="61" t="s">
        <v>85</v>
      </c>
      <c r="I49" s="56"/>
      <c r="J49" s="63">
        <f t="shared" si="8"/>
        <v>14000</v>
      </c>
      <c r="K49" s="63">
        <f t="shared" si="9"/>
        <v>1400</v>
      </c>
      <c r="L49" s="63">
        <f t="shared" si="10"/>
        <v>12600</v>
      </c>
      <c r="M49" s="64">
        <f>IF(ISBLANK(B49),"",SUMIF('FEE ENTRY'!$C$3:$C$202,B49,'FEE ENTRY'!$I$3:$I$202))</f>
        <v>0</v>
      </c>
      <c r="N49" s="64">
        <f t="shared" si="11"/>
        <v>12600</v>
      </c>
      <c r="O49" s="65">
        <f t="shared" si="12"/>
        <v>12</v>
      </c>
    </row>
    <row r="50" spans="1:15" s="65" customFormat="1" ht="18" customHeight="1" x14ac:dyDescent="0.25">
      <c r="A50" s="56">
        <v>49</v>
      </c>
      <c r="B50" s="72" t="s">
        <v>94</v>
      </c>
      <c r="C50" s="56" t="s">
        <v>22</v>
      </c>
      <c r="D50" s="66">
        <v>9099296295</v>
      </c>
      <c r="E50" s="58" t="s">
        <v>63</v>
      </c>
      <c r="F50" s="59"/>
      <c r="G50" s="73" t="s">
        <v>95</v>
      </c>
      <c r="H50" s="61" t="s">
        <v>77</v>
      </c>
      <c r="I50" s="56"/>
      <c r="J50" s="63">
        <f t="shared" si="8"/>
        <v>14000</v>
      </c>
      <c r="K50" s="63">
        <f t="shared" si="9"/>
        <v>0</v>
      </c>
      <c r="L50" s="63">
        <f t="shared" si="10"/>
        <v>14000</v>
      </c>
      <c r="M50" s="64">
        <f>IF(ISBLANK(B50),"",SUMIF('FEE ENTRY'!$C$3:$C$202,B50,'FEE ENTRY'!$I$3:$I$202))</f>
        <v>0</v>
      </c>
      <c r="N50" s="64">
        <f t="shared" si="11"/>
        <v>14000</v>
      </c>
      <c r="O50" s="65">
        <f t="shared" si="12"/>
        <v>12</v>
      </c>
    </row>
    <row r="51" spans="1:15" s="65" customFormat="1" ht="18" customHeight="1" x14ac:dyDescent="0.25">
      <c r="A51" s="56">
        <v>50</v>
      </c>
      <c r="B51" s="72" t="s">
        <v>153</v>
      </c>
      <c r="C51" s="56" t="s">
        <v>22</v>
      </c>
      <c r="D51" s="66">
        <v>8160579655</v>
      </c>
      <c r="E51" s="58" t="s">
        <v>72</v>
      </c>
      <c r="F51" s="59"/>
      <c r="G51" s="73" t="s">
        <v>93</v>
      </c>
      <c r="H51" s="61" t="s">
        <v>85</v>
      </c>
      <c r="I51" s="56"/>
      <c r="J51" s="63">
        <f t="shared" si="8"/>
        <v>14000</v>
      </c>
      <c r="K51" s="63">
        <f t="shared" si="9"/>
        <v>1400</v>
      </c>
      <c r="L51" s="63">
        <f t="shared" si="10"/>
        <v>12600</v>
      </c>
      <c r="M51" s="64">
        <f>IF(ISBLANK(B51),"",SUMIF('FEE ENTRY'!$C$3:$C$202,B51,'FEE ENTRY'!$I$3:$I$202))</f>
        <v>0</v>
      </c>
      <c r="N51" s="64">
        <f t="shared" si="11"/>
        <v>12600</v>
      </c>
      <c r="O51" s="65">
        <f t="shared" si="12"/>
        <v>12</v>
      </c>
    </row>
    <row r="52" spans="1:15" s="65" customFormat="1" ht="18" customHeight="1" x14ac:dyDescent="0.25">
      <c r="A52" s="56">
        <v>51</v>
      </c>
      <c r="B52" s="72" t="s">
        <v>154</v>
      </c>
      <c r="C52" s="56" t="s">
        <v>22</v>
      </c>
      <c r="D52" s="66">
        <v>9558776923</v>
      </c>
      <c r="E52" s="58" t="s">
        <v>72</v>
      </c>
      <c r="F52" s="59"/>
      <c r="G52" s="73" t="s">
        <v>139</v>
      </c>
      <c r="H52" s="61" t="s">
        <v>85</v>
      </c>
      <c r="I52" s="56"/>
      <c r="J52" s="63">
        <f t="shared" si="8"/>
        <v>14000</v>
      </c>
      <c r="K52" s="63">
        <f t="shared" si="9"/>
        <v>1400</v>
      </c>
      <c r="L52" s="63">
        <f t="shared" si="10"/>
        <v>12600</v>
      </c>
      <c r="M52" s="64">
        <f>IF(ISBLANK(B52),"",SUMIF('FEE ENTRY'!$C$3:$C$202,B52,'FEE ENTRY'!$I$3:$I$202))</f>
        <v>0</v>
      </c>
      <c r="N52" s="64">
        <f t="shared" si="11"/>
        <v>12600</v>
      </c>
      <c r="O52" s="65">
        <f t="shared" si="12"/>
        <v>12</v>
      </c>
    </row>
    <row r="53" spans="1:15" s="65" customFormat="1" ht="18" customHeight="1" x14ac:dyDescent="0.25">
      <c r="A53" s="56">
        <v>52</v>
      </c>
      <c r="B53" s="72"/>
      <c r="C53" s="56"/>
      <c r="D53" s="66"/>
      <c r="E53" s="58"/>
      <c r="F53" s="59"/>
      <c r="G53" s="73"/>
      <c r="H53" s="61"/>
      <c r="I53" s="56"/>
      <c r="J53" s="63" t="str">
        <f>IF(ISBLANK(C53),"",VLOOKUP(C53,$S$18:$T$31,2,0))</f>
        <v/>
      </c>
      <c r="K53" s="63" t="str">
        <f>IF(ISBLANK(E53),"",IF(E53="girl",J53*10%,0))</f>
        <v/>
      </c>
      <c r="L53" s="63" t="str">
        <f>IF(ISBLANK(B53),"",J53-K53)</f>
        <v/>
      </c>
      <c r="M53" s="64" t="str">
        <f>IF(ISBLANK(B53),"",SUMIF('FEE ENTRY'!$C$3:$C$202,B53,'FEE ENTRY'!$I$3:$I$202))</f>
        <v/>
      </c>
      <c r="N53" s="64" t="str">
        <f>IF(ISBLANK(B53),"",L53-M53)</f>
        <v/>
      </c>
      <c r="O53" s="65" t="str">
        <f t="shared" si="12"/>
        <v/>
      </c>
    </row>
    <row r="54" spans="1:15" s="65" customFormat="1" ht="18" customHeight="1" x14ac:dyDescent="0.25">
      <c r="A54" s="56">
        <v>53</v>
      </c>
      <c r="B54" s="72"/>
      <c r="C54" s="56"/>
      <c r="D54" s="66"/>
      <c r="E54" s="58"/>
      <c r="F54" s="59"/>
      <c r="G54" s="73"/>
      <c r="H54" s="61"/>
      <c r="I54" s="56"/>
      <c r="J54" s="63" t="str">
        <f t="shared" ref="J54:J101" si="13">IF(ISBLANK(C54),"",VLOOKUP(C54,$S$18:$T$31,2,0))</f>
        <v/>
      </c>
      <c r="K54" s="63" t="str">
        <f t="shared" ref="K54:K101" si="14">IF(ISBLANK(E54),"",IF(E54="girl",J54*10%,0))</f>
        <v/>
      </c>
      <c r="L54" s="63" t="str">
        <f t="shared" ref="L54:L101" si="15">IF(ISBLANK(B54),"",J54-K54)</f>
        <v/>
      </c>
      <c r="M54" s="64" t="str">
        <f>IF(ISBLANK(B54),"",SUMIF('FEE ENTRY'!$C$3:$C$202,B54,'FEE ENTRY'!$I$3:$I$202))</f>
        <v/>
      </c>
      <c r="N54" s="64" t="str">
        <f t="shared" ref="N54:N101" si="16">IF(ISBLANK(B54),"",L54-M54)</f>
        <v/>
      </c>
      <c r="O54" s="65" t="str">
        <f t="shared" si="12"/>
        <v/>
      </c>
    </row>
    <row r="55" spans="1:15" s="65" customFormat="1" ht="18" customHeight="1" x14ac:dyDescent="0.25">
      <c r="A55" s="56">
        <v>54</v>
      </c>
      <c r="B55" s="72"/>
      <c r="C55" s="56"/>
      <c r="D55" s="66"/>
      <c r="E55" s="58"/>
      <c r="F55" s="59"/>
      <c r="G55" s="73"/>
      <c r="H55" s="61"/>
      <c r="I55" s="56"/>
      <c r="J55" s="63" t="str">
        <f t="shared" si="13"/>
        <v/>
      </c>
      <c r="K55" s="63" t="str">
        <f t="shared" si="14"/>
        <v/>
      </c>
      <c r="L55" s="63" t="str">
        <f t="shared" si="15"/>
        <v/>
      </c>
      <c r="M55" s="64" t="str">
        <f>IF(ISBLANK(B55),"",SUMIF('FEE ENTRY'!$C$3:$C$202,B55,'FEE ENTRY'!$I$3:$I$202))</f>
        <v/>
      </c>
      <c r="N55" s="64" t="str">
        <f t="shared" si="16"/>
        <v/>
      </c>
      <c r="O55" s="65" t="str">
        <f t="shared" si="12"/>
        <v/>
      </c>
    </row>
    <row r="56" spans="1:15" s="65" customFormat="1" ht="18" customHeight="1" x14ac:dyDescent="0.25">
      <c r="A56" s="56">
        <v>55</v>
      </c>
      <c r="B56" s="72"/>
      <c r="C56" s="56"/>
      <c r="D56" s="66"/>
      <c r="E56" s="58"/>
      <c r="F56" s="59"/>
      <c r="G56" s="73"/>
      <c r="H56" s="61"/>
      <c r="I56" s="56"/>
      <c r="J56" s="63" t="str">
        <f t="shared" si="13"/>
        <v/>
      </c>
      <c r="K56" s="63" t="str">
        <f t="shared" si="14"/>
        <v/>
      </c>
      <c r="L56" s="63" t="str">
        <f t="shared" si="15"/>
        <v/>
      </c>
      <c r="M56" s="64" t="str">
        <f>IF(ISBLANK(B56),"",SUMIF('FEE ENTRY'!$C$3:$C$202,B56,'FEE ENTRY'!$I$3:$I$202))</f>
        <v/>
      </c>
      <c r="N56" s="64" t="str">
        <f t="shared" si="16"/>
        <v/>
      </c>
      <c r="O56" s="65" t="str">
        <f t="shared" si="12"/>
        <v/>
      </c>
    </row>
    <row r="57" spans="1:15" s="65" customFormat="1" ht="18" customHeight="1" x14ac:dyDescent="0.25">
      <c r="A57" s="56">
        <v>56</v>
      </c>
      <c r="B57" s="72"/>
      <c r="C57" s="56"/>
      <c r="D57" s="66"/>
      <c r="E57" s="58"/>
      <c r="F57" s="59"/>
      <c r="G57" s="73"/>
      <c r="H57" s="61"/>
      <c r="I57" s="56"/>
      <c r="J57" s="63" t="str">
        <f t="shared" si="13"/>
        <v/>
      </c>
      <c r="K57" s="63" t="str">
        <f t="shared" si="14"/>
        <v/>
      </c>
      <c r="L57" s="63" t="str">
        <f t="shared" si="15"/>
        <v/>
      </c>
      <c r="M57" s="64" t="str">
        <f>IF(ISBLANK(B57),"",SUMIF('FEE ENTRY'!$C$3:$C$202,B57,'FEE ENTRY'!$I$3:$I$202))</f>
        <v/>
      </c>
      <c r="N57" s="64" t="str">
        <f t="shared" si="16"/>
        <v/>
      </c>
      <c r="O57" s="65" t="str">
        <f t="shared" si="12"/>
        <v/>
      </c>
    </row>
    <row r="58" spans="1:15" s="65" customFormat="1" ht="18" customHeight="1" x14ac:dyDescent="0.25">
      <c r="A58" s="56">
        <v>57</v>
      </c>
      <c r="B58" s="72"/>
      <c r="C58" s="56"/>
      <c r="D58" s="66"/>
      <c r="E58" s="58"/>
      <c r="F58" s="59"/>
      <c r="G58" s="73"/>
      <c r="H58" s="61"/>
      <c r="I58" s="56"/>
      <c r="J58" s="63" t="str">
        <f t="shared" si="13"/>
        <v/>
      </c>
      <c r="K58" s="63" t="str">
        <f t="shared" si="14"/>
        <v/>
      </c>
      <c r="L58" s="63" t="str">
        <f t="shared" si="15"/>
        <v/>
      </c>
      <c r="M58" s="64" t="str">
        <f>IF(ISBLANK(B58),"",SUMIF('FEE ENTRY'!$C$3:$C$202,B58,'FEE ENTRY'!$I$3:$I$202))</f>
        <v/>
      </c>
      <c r="N58" s="64" t="str">
        <f t="shared" si="16"/>
        <v/>
      </c>
      <c r="O58" s="65" t="str">
        <f t="shared" si="12"/>
        <v/>
      </c>
    </row>
    <row r="59" spans="1:15" s="65" customFormat="1" ht="18" customHeight="1" x14ac:dyDescent="0.25">
      <c r="A59" s="56">
        <v>58</v>
      </c>
      <c r="B59" s="72"/>
      <c r="C59" s="56"/>
      <c r="D59" s="66"/>
      <c r="E59" s="58"/>
      <c r="F59" s="59"/>
      <c r="G59" s="73"/>
      <c r="H59" s="61"/>
      <c r="I59" s="56"/>
      <c r="J59" s="63" t="str">
        <f t="shared" si="13"/>
        <v/>
      </c>
      <c r="K59" s="63" t="str">
        <f t="shared" si="14"/>
        <v/>
      </c>
      <c r="L59" s="63" t="str">
        <f t="shared" si="15"/>
        <v/>
      </c>
      <c r="M59" s="64" t="str">
        <f>IF(ISBLANK(B59),"",SUMIF('FEE ENTRY'!$C$3:$C$202,B59,'FEE ENTRY'!$I$3:$I$202))</f>
        <v/>
      </c>
      <c r="N59" s="64" t="str">
        <f t="shared" si="16"/>
        <v/>
      </c>
      <c r="O59" s="65" t="str">
        <f t="shared" si="12"/>
        <v/>
      </c>
    </row>
    <row r="60" spans="1:15" s="65" customFormat="1" ht="18" customHeight="1" x14ac:dyDescent="0.25">
      <c r="A60" s="56">
        <v>59</v>
      </c>
      <c r="B60" s="72"/>
      <c r="C60" s="56"/>
      <c r="D60" s="66"/>
      <c r="E60" s="58"/>
      <c r="F60" s="59"/>
      <c r="G60" s="73"/>
      <c r="H60" s="61"/>
      <c r="I60" s="56"/>
      <c r="J60" s="63" t="str">
        <f t="shared" si="13"/>
        <v/>
      </c>
      <c r="K60" s="63" t="str">
        <f t="shared" si="14"/>
        <v/>
      </c>
      <c r="L60" s="63" t="str">
        <f t="shared" si="15"/>
        <v/>
      </c>
      <c r="M60" s="64" t="str">
        <f>IF(ISBLANK(B60),"",SUMIF('FEE ENTRY'!$C$3:$C$202,B60,'FEE ENTRY'!$I$3:$I$202))</f>
        <v/>
      </c>
      <c r="N60" s="64" t="str">
        <f t="shared" si="16"/>
        <v/>
      </c>
      <c r="O60" s="65" t="str">
        <f t="shared" si="12"/>
        <v/>
      </c>
    </row>
    <row r="61" spans="1:15" s="65" customFormat="1" ht="18" customHeight="1" x14ac:dyDescent="0.25">
      <c r="A61" s="56">
        <v>60</v>
      </c>
      <c r="B61" s="72"/>
      <c r="C61" s="56"/>
      <c r="D61" s="66"/>
      <c r="E61" s="58"/>
      <c r="F61" s="59"/>
      <c r="G61" s="73"/>
      <c r="H61" s="61"/>
      <c r="I61" s="56"/>
      <c r="J61" s="63" t="str">
        <f t="shared" si="13"/>
        <v/>
      </c>
      <c r="K61" s="63" t="str">
        <f t="shared" si="14"/>
        <v/>
      </c>
      <c r="L61" s="63" t="str">
        <f t="shared" si="15"/>
        <v/>
      </c>
      <c r="M61" s="64" t="str">
        <f>IF(ISBLANK(B61),"",SUMIF('FEE ENTRY'!$C$3:$C$202,B61,'FEE ENTRY'!$I$3:$I$202))</f>
        <v/>
      </c>
      <c r="N61" s="64" t="str">
        <f t="shared" si="16"/>
        <v/>
      </c>
      <c r="O61" s="65" t="str">
        <f t="shared" si="12"/>
        <v/>
      </c>
    </row>
    <row r="62" spans="1:15" s="65" customFormat="1" ht="18" customHeight="1" x14ac:dyDescent="0.25">
      <c r="A62" s="56">
        <v>61</v>
      </c>
      <c r="B62" s="72"/>
      <c r="C62" s="56"/>
      <c r="D62" s="66"/>
      <c r="E62" s="58"/>
      <c r="F62" s="59"/>
      <c r="G62" s="73"/>
      <c r="H62" s="61"/>
      <c r="I62" s="56"/>
      <c r="J62" s="63" t="str">
        <f t="shared" si="13"/>
        <v/>
      </c>
      <c r="K62" s="63" t="str">
        <f t="shared" si="14"/>
        <v/>
      </c>
      <c r="L62" s="63" t="str">
        <f t="shared" si="15"/>
        <v/>
      </c>
      <c r="M62" s="64" t="str">
        <f>IF(ISBLANK(B62),"",SUMIF('FEE ENTRY'!$C$3:$C$202,B62,'FEE ENTRY'!$I$3:$I$202))</f>
        <v/>
      </c>
      <c r="N62" s="64" t="str">
        <f t="shared" si="16"/>
        <v/>
      </c>
      <c r="O62" s="65" t="str">
        <f t="shared" si="12"/>
        <v/>
      </c>
    </row>
    <row r="63" spans="1:15" s="65" customFormat="1" ht="18" customHeight="1" x14ac:dyDescent="0.25">
      <c r="A63" s="56">
        <v>62</v>
      </c>
      <c r="B63" s="72"/>
      <c r="C63" s="56"/>
      <c r="D63" s="66"/>
      <c r="E63" s="58"/>
      <c r="F63" s="59"/>
      <c r="G63" s="73"/>
      <c r="H63" s="61"/>
      <c r="I63" s="56"/>
      <c r="J63" s="63" t="str">
        <f t="shared" si="13"/>
        <v/>
      </c>
      <c r="K63" s="63" t="str">
        <f t="shared" si="14"/>
        <v/>
      </c>
      <c r="L63" s="63" t="str">
        <f t="shared" si="15"/>
        <v/>
      </c>
      <c r="M63" s="64" t="str">
        <f>IF(ISBLANK(B63),"",SUMIF('FEE ENTRY'!$C$3:$C$202,B63,'FEE ENTRY'!$I$3:$I$202))</f>
        <v/>
      </c>
      <c r="N63" s="64" t="str">
        <f t="shared" si="16"/>
        <v/>
      </c>
      <c r="O63" s="65" t="str">
        <f t="shared" si="12"/>
        <v/>
      </c>
    </row>
    <row r="64" spans="1:15" s="65" customFormat="1" ht="18" customHeight="1" x14ac:dyDescent="0.25">
      <c r="A64" s="56">
        <v>63</v>
      </c>
      <c r="B64" s="72"/>
      <c r="C64" s="56"/>
      <c r="D64" s="66"/>
      <c r="E64" s="58"/>
      <c r="F64" s="59"/>
      <c r="G64" s="73"/>
      <c r="H64" s="61"/>
      <c r="I64" s="56"/>
      <c r="J64" s="63" t="str">
        <f t="shared" si="13"/>
        <v/>
      </c>
      <c r="K64" s="63" t="str">
        <f t="shared" si="14"/>
        <v/>
      </c>
      <c r="L64" s="63" t="str">
        <f t="shared" si="15"/>
        <v/>
      </c>
      <c r="M64" s="64" t="str">
        <f>IF(ISBLANK(B64),"",SUMIF('FEE ENTRY'!$C$3:$C$202,B64,'FEE ENTRY'!$I$3:$I$202))</f>
        <v/>
      </c>
      <c r="N64" s="64" t="str">
        <f t="shared" si="16"/>
        <v/>
      </c>
      <c r="O64" s="65" t="str">
        <f t="shared" si="12"/>
        <v/>
      </c>
    </row>
    <row r="65" spans="1:15" s="65" customFormat="1" ht="18" customHeight="1" x14ac:dyDescent="0.25">
      <c r="A65" s="56">
        <v>64</v>
      </c>
      <c r="B65" s="72"/>
      <c r="C65" s="56"/>
      <c r="D65" s="66"/>
      <c r="E65" s="58"/>
      <c r="F65" s="59"/>
      <c r="G65" s="73"/>
      <c r="H65" s="61"/>
      <c r="I65" s="56"/>
      <c r="J65" s="63" t="str">
        <f t="shared" si="13"/>
        <v/>
      </c>
      <c r="K65" s="63" t="str">
        <f t="shared" si="14"/>
        <v/>
      </c>
      <c r="L65" s="63" t="str">
        <f t="shared" si="15"/>
        <v/>
      </c>
      <c r="M65" s="64" t="str">
        <f>IF(ISBLANK(B65),"",SUMIF('FEE ENTRY'!$C$3:$C$202,B65,'FEE ENTRY'!$I$3:$I$202))</f>
        <v/>
      </c>
      <c r="N65" s="64" t="str">
        <f t="shared" si="16"/>
        <v/>
      </c>
      <c r="O65" s="65" t="str">
        <f t="shared" si="12"/>
        <v/>
      </c>
    </row>
    <row r="66" spans="1:15" s="65" customFormat="1" ht="18" customHeight="1" x14ac:dyDescent="0.25">
      <c r="A66" s="56">
        <v>65</v>
      </c>
      <c r="B66" s="72"/>
      <c r="C66" s="56"/>
      <c r="D66" s="66"/>
      <c r="E66" s="58"/>
      <c r="F66" s="59"/>
      <c r="G66" s="73"/>
      <c r="H66" s="61"/>
      <c r="I66" s="56"/>
      <c r="J66" s="63" t="str">
        <f t="shared" si="13"/>
        <v/>
      </c>
      <c r="K66" s="63" t="str">
        <f t="shared" si="14"/>
        <v/>
      </c>
      <c r="L66" s="63" t="str">
        <f t="shared" si="15"/>
        <v/>
      </c>
      <c r="M66" s="64" t="str">
        <f>IF(ISBLANK(B66),"",SUMIF('FEE ENTRY'!$C$3:$C$202,B66,'FEE ENTRY'!$I$3:$I$202))</f>
        <v/>
      </c>
      <c r="N66" s="64" t="str">
        <f t="shared" si="16"/>
        <v/>
      </c>
      <c r="O66" s="65" t="str">
        <f t="shared" ref="O66:O101" si="17">IF(C66="K.G.",0,IF(C66="1st",1,IF(C66="2nd",2,IF(C66="3rd",3,IF(C66="4th",4,IF(C66="5th",5,IF(C66="6th",6,IF(C66="7th",7,IF(C66="8th",8,IF(C66="9th",9,IF(C66="10th",10,IF(C66="11th",11,IF(C66="12th",12,"")))))))))))))</f>
        <v/>
      </c>
    </row>
    <row r="67" spans="1:15" s="65" customFormat="1" ht="18" customHeight="1" x14ac:dyDescent="0.25">
      <c r="A67" s="56">
        <v>66</v>
      </c>
      <c r="B67" s="72"/>
      <c r="C67" s="56"/>
      <c r="D67" s="66"/>
      <c r="E67" s="58"/>
      <c r="F67" s="59"/>
      <c r="G67" s="73"/>
      <c r="H67" s="61"/>
      <c r="I67" s="56"/>
      <c r="J67" s="63" t="str">
        <f t="shared" si="13"/>
        <v/>
      </c>
      <c r="K67" s="63" t="str">
        <f t="shared" si="14"/>
        <v/>
      </c>
      <c r="L67" s="63" t="str">
        <f t="shared" si="15"/>
        <v/>
      </c>
      <c r="M67" s="64" t="str">
        <f>IF(ISBLANK(B67),"",SUMIF('FEE ENTRY'!$C$3:$C$202,B67,'FEE ENTRY'!$I$3:$I$202))</f>
        <v/>
      </c>
      <c r="N67" s="64" t="str">
        <f t="shared" si="16"/>
        <v/>
      </c>
      <c r="O67" s="65" t="str">
        <f t="shared" si="17"/>
        <v/>
      </c>
    </row>
    <row r="68" spans="1:15" s="65" customFormat="1" ht="18" customHeight="1" x14ac:dyDescent="0.25">
      <c r="A68" s="56">
        <v>67</v>
      </c>
      <c r="B68" s="72"/>
      <c r="C68" s="56"/>
      <c r="D68" s="66"/>
      <c r="E68" s="58"/>
      <c r="F68" s="59"/>
      <c r="G68" s="73"/>
      <c r="H68" s="61"/>
      <c r="I68" s="56"/>
      <c r="J68" s="63" t="str">
        <f t="shared" si="13"/>
        <v/>
      </c>
      <c r="K68" s="63" t="str">
        <f t="shared" si="14"/>
        <v/>
      </c>
      <c r="L68" s="63" t="str">
        <f t="shared" si="15"/>
        <v/>
      </c>
      <c r="M68" s="64" t="str">
        <f>IF(ISBLANK(B68),"",SUMIF('FEE ENTRY'!$C$3:$C$202,B68,'FEE ENTRY'!$I$3:$I$202))</f>
        <v/>
      </c>
      <c r="N68" s="64" t="str">
        <f t="shared" si="16"/>
        <v/>
      </c>
      <c r="O68" s="65" t="str">
        <f t="shared" si="17"/>
        <v/>
      </c>
    </row>
    <row r="69" spans="1:15" s="65" customFormat="1" ht="18" customHeight="1" x14ac:dyDescent="0.25">
      <c r="A69" s="56">
        <v>68</v>
      </c>
      <c r="B69" s="72"/>
      <c r="C69" s="56"/>
      <c r="D69" s="66"/>
      <c r="E69" s="58"/>
      <c r="F69" s="59"/>
      <c r="G69" s="73"/>
      <c r="H69" s="61"/>
      <c r="I69" s="56"/>
      <c r="J69" s="63" t="str">
        <f t="shared" si="13"/>
        <v/>
      </c>
      <c r="K69" s="63" t="str">
        <f t="shared" si="14"/>
        <v/>
      </c>
      <c r="L69" s="63" t="str">
        <f t="shared" si="15"/>
        <v/>
      </c>
      <c r="M69" s="64" t="str">
        <f>IF(ISBLANK(B69),"",SUMIF('FEE ENTRY'!$C$3:$C$202,B69,'FEE ENTRY'!$I$3:$I$202))</f>
        <v/>
      </c>
      <c r="N69" s="64" t="str">
        <f t="shared" si="16"/>
        <v/>
      </c>
      <c r="O69" s="65" t="str">
        <f t="shared" si="17"/>
        <v/>
      </c>
    </row>
    <row r="70" spans="1:15" s="65" customFormat="1" ht="18" customHeight="1" x14ac:dyDescent="0.25">
      <c r="A70" s="56">
        <v>69</v>
      </c>
      <c r="B70" s="72"/>
      <c r="C70" s="56"/>
      <c r="D70" s="66"/>
      <c r="E70" s="58"/>
      <c r="F70" s="59"/>
      <c r="G70" s="73"/>
      <c r="H70" s="61"/>
      <c r="I70" s="56"/>
      <c r="J70" s="63" t="str">
        <f t="shared" si="13"/>
        <v/>
      </c>
      <c r="K70" s="63" t="str">
        <f t="shared" si="14"/>
        <v/>
      </c>
      <c r="L70" s="63" t="str">
        <f t="shared" si="15"/>
        <v/>
      </c>
      <c r="M70" s="64" t="str">
        <f>IF(ISBLANK(B70),"",SUMIF('FEE ENTRY'!$C$3:$C$202,B70,'FEE ENTRY'!$I$3:$I$202))</f>
        <v/>
      </c>
      <c r="N70" s="64" t="str">
        <f t="shared" si="16"/>
        <v/>
      </c>
      <c r="O70" s="65" t="str">
        <f t="shared" si="17"/>
        <v/>
      </c>
    </row>
    <row r="71" spans="1:15" s="65" customFormat="1" ht="18" customHeight="1" x14ac:dyDescent="0.25">
      <c r="A71" s="56">
        <v>70</v>
      </c>
      <c r="B71" s="72"/>
      <c r="C71" s="56"/>
      <c r="D71" s="66"/>
      <c r="E71" s="58"/>
      <c r="F71" s="59"/>
      <c r="G71" s="73"/>
      <c r="H71" s="61"/>
      <c r="I71" s="56"/>
      <c r="J71" s="63" t="str">
        <f t="shared" si="13"/>
        <v/>
      </c>
      <c r="K71" s="63" t="str">
        <f t="shared" si="14"/>
        <v/>
      </c>
      <c r="L71" s="63" t="str">
        <f t="shared" si="15"/>
        <v/>
      </c>
      <c r="M71" s="64" t="str">
        <f>IF(ISBLANK(B71),"",SUMIF('FEE ENTRY'!$C$3:$C$202,B71,'FEE ENTRY'!$I$3:$I$202))</f>
        <v/>
      </c>
      <c r="N71" s="64" t="str">
        <f t="shared" si="16"/>
        <v/>
      </c>
      <c r="O71" s="65" t="str">
        <f t="shared" si="17"/>
        <v/>
      </c>
    </row>
    <row r="72" spans="1:15" s="65" customFormat="1" ht="18" customHeight="1" x14ac:dyDescent="0.25">
      <c r="A72" s="56">
        <v>71</v>
      </c>
      <c r="B72" s="72"/>
      <c r="C72" s="56"/>
      <c r="D72" s="66"/>
      <c r="E72" s="58"/>
      <c r="F72" s="59"/>
      <c r="G72" s="73"/>
      <c r="H72" s="61"/>
      <c r="I72" s="56"/>
      <c r="J72" s="63" t="str">
        <f t="shared" si="13"/>
        <v/>
      </c>
      <c r="K72" s="63" t="str">
        <f t="shared" si="14"/>
        <v/>
      </c>
      <c r="L72" s="63" t="str">
        <f t="shared" si="15"/>
        <v/>
      </c>
      <c r="M72" s="64" t="str">
        <f>IF(ISBLANK(B72),"",SUMIF('FEE ENTRY'!$C$3:$C$202,B72,'FEE ENTRY'!$I$3:$I$202))</f>
        <v/>
      </c>
      <c r="N72" s="64" t="str">
        <f t="shared" si="16"/>
        <v/>
      </c>
      <c r="O72" s="65" t="str">
        <f t="shared" si="17"/>
        <v/>
      </c>
    </row>
    <row r="73" spans="1:15" s="65" customFormat="1" ht="18" customHeight="1" x14ac:dyDescent="0.25">
      <c r="A73" s="56">
        <v>72</v>
      </c>
      <c r="B73" s="72"/>
      <c r="C73" s="56"/>
      <c r="D73" s="66"/>
      <c r="E73" s="58"/>
      <c r="F73" s="59"/>
      <c r="G73" s="73"/>
      <c r="H73" s="61"/>
      <c r="I73" s="56"/>
      <c r="J73" s="63" t="str">
        <f t="shared" si="13"/>
        <v/>
      </c>
      <c r="K73" s="63" t="str">
        <f t="shared" si="14"/>
        <v/>
      </c>
      <c r="L73" s="63" t="str">
        <f t="shared" si="15"/>
        <v/>
      </c>
      <c r="M73" s="64" t="str">
        <f>IF(ISBLANK(B73),"",SUMIF('FEE ENTRY'!$C$3:$C$202,B73,'FEE ENTRY'!$I$3:$I$202))</f>
        <v/>
      </c>
      <c r="N73" s="64" t="str">
        <f t="shared" si="16"/>
        <v/>
      </c>
      <c r="O73" s="65" t="str">
        <f t="shared" si="17"/>
        <v/>
      </c>
    </row>
    <row r="74" spans="1:15" s="65" customFormat="1" ht="18" customHeight="1" x14ac:dyDescent="0.25">
      <c r="A74" s="56">
        <v>73</v>
      </c>
      <c r="B74" s="72"/>
      <c r="C74" s="56"/>
      <c r="D74" s="66"/>
      <c r="E74" s="58"/>
      <c r="F74" s="59"/>
      <c r="G74" s="73"/>
      <c r="H74" s="61"/>
      <c r="I74" s="56"/>
      <c r="J74" s="63" t="str">
        <f t="shared" si="13"/>
        <v/>
      </c>
      <c r="K74" s="63" t="str">
        <f t="shared" si="14"/>
        <v/>
      </c>
      <c r="L74" s="63" t="str">
        <f t="shared" si="15"/>
        <v/>
      </c>
      <c r="M74" s="64" t="str">
        <f>IF(ISBLANK(B74),"",SUMIF('FEE ENTRY'!$C$3:$C$202,B74,'FEE ENTRY'!$I$3:$I$202))</f>
        <v/>
      </c>
      <c r="N74" s="64" t="str">
        <f t="shared" si="16"/>
        <v/>
      </c>
      <c r="O74" s="65" t="str">
        <f t="shared" si="17"/>
        <v/>
      </c>
    </row>
    <row r="75" spans="1:15" s="65" customFormat="1" ht="18" customHeight="1" x14ac:dyDescent="0.25">
      <c r="A75" s="56">
        <v>74</v>
      </c>
      <c r="B75" s="72"/>
      <c r="C75" s="56"/>
      <c r="D75" s="66"/>
      <c r="E75" s="58"/>
      <c r="F75" s="59"/>
      <c r="G75" s="73"/>
      <c r="H75" s="61"/>
      <c r="I75" s="56"/>
      <c r="J75" s="63" t="str">
        <f t="shared" si="13"/>
        <v/>
      </c>
      <c r="K75" s="63" t="str">
        <f t="shared" si="14"/>
        <v/>
      </c>
      <c r="L75" s="63" t="str">
        <f t="shared" si="15"/>
        <v/>
      </c>
      <c r="M75" s="64" t="str">
        <f>IF(ISBLANK(B75),"",SUMIF('FEE ENTRY'!$C$3:$C$202,B75,'FEE ENTRY'!$I$3:$I$202))</f>
        <v/>
      </c>
      <c r="N75" s="64" t="str">
        <f t="shared" si="16"/>
        <v/>
      </c>
      <c r="O75" s="65" t="str">
        <f t="shared" si="17"/>
        <v/>
      </c>
    </row>
    <row r="76" spans="1:15" s="65" customFormat="1" ht="18" customHeight="1" x14ac:dyDescent="0.25">
      <c r="A76" s="56">
        <v>75</v>
      </c>
      <c r="B76" s="72"/>
      <c r="C76" s="56"/>
      <c r="D76" s="66"/>
      <c r="E76" s="58"/>
      <c r="F76" s="59"/>
      <c r="G76" s="73"/>
      <c r="H76" s="61"/>
      <c r="I76" s="56"/>
      <c r="J76" s="63" t="str">
        <f t="shared" si="13"/>
        <v/>
      </c>
      <c r="K76" s="63" t="str">
        <f t="shared" si="14"/>
        <v/>
      </c>
      <c r="L76" s="63" t="str">
        <f t="shared" si="15"/>
        <v/>
      </c>
      <c r="M76" s="64" t="str">
        <f>IF(ISBLANK(B76),"",SUMIF('FEE ENTRY'!$C$3:$C$202,B76,'FEE ENTRY'!$I$3:$I$202))</f>
        <v/>
      </c>
      <c r="N76" s="64" t="str">
        <f t="shared" si="16"/>
        <v/>
      </c>
      <c r="O76" s="65" t="str">
        <f t="shared" si="17"/>
        <v/>
      </c>
    </row>
    <row r="77" spans="1:15" s="65" customFormat="1" ht="18" customHeight="1" x14ac:dyDescent="0.25">
      <c r="A77" s="56">
        <v>76</v>
      </c>
      <c r="B77" s="72"/>
      <c r="C77" s="56"/>
      <c r="D77" s="66"/>
      <c r="E77" s="58"/>
      <c r="F77" s="59"/>
      <c r="G77" s="73"/>
      <c r="H77" s="61"/>
      <c r="I77" s="56"/>
      <c r="J77" s="63" t="str">
        <f t="shared" si="13"/>
        <v/>
      </c>
      <c r="K77" s="63" t="str">
        <f t="shared" si="14"/>
        <v/>
      </c>
      <c r="L77" s="63" t="str">
        <f t="shared" si="15"/>
        <v/>
      </c>
      <c r="M77" s="64" t="str">
        <f>IF(ISBLANK(B77),"",SUMIF('FEE ENTRY'!$C$3:$C$202,B77,'FEE ENTRY'!$I$3:$I$202))</f>
        <v/>
      </c>
      <c r="N77" s="64" t="str">
        <f t="shared" si="16"/>
        <v/>
      </c>
      <c r="O77" s="65" t="str">
        <f t="shared" si="17"/>
        <v/>
      </c>
    </row>
    <row r="78" spans="1:15" s="65" customFormat="1" ht="18" customHeight="1" x14ac:dyDescent="0.25">
      <c r="A78" s="56">
        <v>77</v>
      </c>
      <c r="B78" s="72"/>
      <c r="C78" s="56"/>
      <c r="D78" s="66"/>
      <c r="E78" s="58"/>
      <c r="F78" s="59"/>
      <c r="G78" s="73"/>
      <c r="H78" s="61"/>
      <c r="I78" s="56"/>
      <c r="J78" s="63" t="str">
        <f t="shared" si="13"/>
        <v/>
      </c>
      <c r="K78" s="63" t="str">
        <f t="shared" si="14"/>
        <v/>
      </c>
      <c r="L78" s="63" t="str">
        <f t="shared" si="15"/>
        <v/>
      </c>
      <c r="M78" s="64" t="str">
        <f>IF(ISBLANK(B78),"",SUMIF('FEE ENTRY'!$C$3:$C$202,B78,'FEE ENTRY'!$I$3:$I$202))</f>
        <v/>
      </c>
      <c r="N78" s="64" t="str">
        <f t="shared" si="16"/>
        <v/>
      </c>
      <c r="O78" s="65" t="str">
        <f t="shared" si="17"/>
        <v/>
      </c>
    </row>
    <row r="79" spans="1:15" s="65" customFormat="1" ht="18" customHeight="1" x14ac:dyDescent="0.25">
      <c r="A79" s="56">
        <v>78</v>
      </c>
      <c r="B79" s="72"/>
      <c r="C79" s="56"/>
      <c r="D79" s="66"/>
      <c r="E79" s="58"/>
      <c r="F79" s="59"/>
      <c r="G79" s="73"/>
      <c r="H79" s="61"/>
      <c r="I79" s="56"/>
      <c r="J79" s="63" t="str">
        <f t="shared" si="13"/>
        <v/>
      </c>
      <c r="K79" s="63" t="str">
        <f t="shared" si="14"/>
        <v/>
      </c>
      <c r="L79" s="63" t="str">
        <f t="shared" si="15"/>
        <v/>
      </c>
      <c r="M79" s="64" t="str">
        <f>IF(ISBLANK(B79),"",SUMIF('FEE ENTRY'!$C$3:$C$202,B79,'FEE ENTRY'!$I$3:$I$202))</f>
        <v/>
      </c>
      <c r="N79" s="64" t="str">
        <f t="shared" si="16"/>
        <v/>
      </c>
      <c r="O79" s="65" t="str">
        <f t="shared" si="17"/>
        <v/>
      </c>
    </row>
    <row r="80" spans="1:15" s="65" customFormat="1" ht="18" customHeight="1" x14ac:dyDescent="0.25">
      <c r="A80" s="56">
        <v>79</v>
      </c>
      <c r="B80" s="72"/>
      <c r="C80" s="56"/>
      <c r="D80" s="66"/>
      <c r="E80" s="58"/>
      <c r="F80" s="59"/>
      <c r="G80" s="73"/>
      <c r="H80" s="61"/>
      <c r="I80" s="56"/>
      <c r="J80" s="63" t="str">
        <f t="shared" si="13"/>
        <v/>
      </c>
      <c r="K80" s="63" t="str">
        <f t="shared" si="14"/>
        <v/>
      </c>
      <c r="L80" s="63" t="str">
        <f t="shared" si="15"/>
        <v/>
      </c>
      <c r="M80" s="64" t="str">
        <f>IF(ISBLANK(B80),"",SUMIF('FEE ENTRY'!$C$3:$C$202,B80,'FEE ENTRY'!$I$3:$I$202))</f>
        <v/>
      </c>
      <c r="N80" s="64" t="str">
        <f t="shared" si="16"/>
        <v/>
      </c>
      <c r="O80" s="65" t="str">
        <f t="shared" si="17"/>
        <v/>
      </c>
    </row>
    <row r="81" spans="1:15" s="65" customFormat="1" ht="18" customHeight="1" x14ac:dyDescent="0.25">
      <c r="A81" s="56">
        <v>80</v>
      </c>
      <c r="B81" s="72"/>
      <c r="C81" s="56"/>
      <c r="D81" s="66"/>
      <c r="E81" s="58"/>
      <c r="F81" s="59"/>
      <c r="G81" s="73"/>
      <c r="H81" s="61"/>
      <c r="I81" s="56"/>
      <c r="J81" s="63" t="str">
        <f t="shared" si="13"/>
        <v/>
      </c>
      <c r="K81" s="63" t="str">
        <f t="shared" si="14"/>
        <v/>
      </c>
      <c r="L81" s="63" t="str">
        <f t="shared" si="15"/>
        <v/>
      </c>
      <c r="M81" s="64" t="str">
        <f>IF(ISBLANK(B81),"",SUMIF('FEE ENTRY'!$C$3:$C$202,B81,'FEE ENTRY'!$I$3:$I$202))</f>
        <v/>
      </c>
      <c r="N81" s="64" t="str">
        <f t="shared" si="16"/>
        <v/>
      </c>
      <c r="O81" s="65" t="str">
        <f t="shared" si="17"/>
        <v/>
      </c>
    </row>
    <row r="82" spans="1:15" s="65" customFormat="1" ht="18" customHeight="1" x14ac:dyDescent="0.25">
      <c r="A82" s="56">
        <v>81</v>
      </c>
      <c r="B82" s="72"/>
      <c r="C82" s="56"/>
      <c r="D82" s="66"/>
      <c r="E82" s="58"/>
      <c r="F82" s="59"/>
      <c r="G82" s="73"/>
      <c r="H82" s="61"/>
      <c r="I82" s="56"/>
      <c r="J82" s="63" t="str">
        <f t="shared" si="13"/>
        <v/>
      </c>
      <c r="K82" s="63" t="str">
        <f t="shared" si="14"/>
        <v/>
      </c>
      <c r="L82" s="63" t="str">
        <f t="shared" si="15"/>
        <v/>
      </c>
      <c r="M82" s="64" t="str">
        <f>IF(ISBLANK(B82),"",SUMIF('FEE ENTRY'!$C$3:$C$202,B82,'FEE ENTRY'!$I$3:$I$202))</f>
        <v/>
      </c>
      <c r="N82" s="64" t="str">
        <f t="shared" si="16"/>
        <v/>
      </c>
      <c r="O82" s="65" t="str">
        <f t="shared" si="17"/>
        <v/>
      </c>
    </row>
    <row r="83" spans="1:15" s="65" customFormat="1" ht="18" customHeight="1" x14ac:dyDescent="0.25">
      <c r="A83" s="56">
        <v>82</v>
      </c>
      <c r="B83" s="72"/>
      <c r="C83" s="56"/>
      <c r="D83" s="66"/>
      <c r="E83" s="58"/>
      <c r="F83" s="59"/>
      <c r="G83" s="73"/>
      <c r="H83" s="61"/>
      <c r="I83" s="56"/>
      <c r="J83" s="63" t="str">
        <f t="shared" si="13"/>
        <v/>
      </c>
      <c r="K83" s="63" t="str">
        <f t="shared" si="14"/>
        <v/>
      </c>
      <c r="L83" s="63" t="str">
        <f t="shared" si="15"/>
        <v/>
      </c>
      <c r="M83" s="64" t="str">
        <f>IF(ISBLANK(B83),"",SUMIF('FEE ENTRY'!$C$3:$C$202,B83,'FEE ENTRY'!$I$3:$I$202))</f>
        <v/>
      </c>
      <c r="N83" s="64" t="str">
        <f t="shared" si="16"/>
        <v/>
      </c>
      <c r="O83" s="65" t="str">
        <f t="shared" si="17"/>
        <v/>
      </c>
    </row>
    <row r="84" spans="1:15" s="65" customFormat="1" ht="18" customHeight="1" x14ac:dyDescent="0.25">
      <c r="A84" s="56">
        <v>83</v>
      </c>
      <c r="B84" s="72"/>
      <c r="C84" s="56"/>
      <c r="D84" s="66"/>
      <c r="E84" s="58"/>
      <c r="F84" s="59"/>
      <c r="G84" s="73"/>
      <c r="H84" s="61"/>
      <c r="I84" s="56"/>
      <c r="J84" s="63" t="str">
        <f t="shared" si="13"/>
        <v/>
      </c>
      <c r="K84" s="63" t="str">
        <f t="shared" si="14"/>
        <v/>
      </c>
      <c r="L84" s="63" t="str">
        <f t="shared" si="15"/>
        <v/>
      </c>
      <c r="M84" s="64" t="str">
        <f>IF(ISBLANK(B84),"",SUMIF('FEE ENTRY'!$C$3:$C$202,B84,'FEE ENTRY'!$I$3:$I$202))</f>
        <v/>
      </c>
      <c r="N84" s="64" t="str">
        <f t="shared" si="16"/>
        <v/>
      </c>
      <c r="O84" s="65" t="str">
        <f t="shared" si="17"/>
        <v/>
      </c>
    </row>
    <row r="85" spans="1:15" s="65" customFormat="1" ht="18" customHeight="1" x14ac:dyDescent="0.25">
      <c r="A85" s="56">
        <v>84</v>
      </c>
      <c r="B85" s="72"/>
      <c r="C85" s="56"/>
      <c r="D85" s="66"/>
      <c r="E85" s="58"/>
      <c r="F85" s="59"/>
      <c r="G85" s="73"/>
      <c r="H85" s="61"/>
      <c r="I85" s="56"/>
      <c r="J85" s="63" t="str">
        <f t="shared" si="13"/>
        <v/>
      </c>
      <c r="K85" s="63" t="str">
        <f t="shared" si="14"/>
        <v/>
      </c>
      <c r="L85" s="63" t="str">
        <f t="shared" si="15"/>
        <v/>
      </c>
      <c r="M85" s="64" t="str">
        <f>IF(ISBLANK(B85),"",SUMIF('FEE ENTRY'!$C$3:$C$202,B85,'FEE ENTRY'!$I$3:$I$202))</f>
        <v/>
      </c>
      <c r="N85" s="64" t="str">
        <f t="shared" si="16"/>
        <v/>
      </c>
      <c r="O85" s="65" t="str">
        <f t="shared" si="17"/>
        <v/>
      </c>
    </row>
    <row r="86" spans="1:15" s="65" customFormat="1" ht="18" customHeight="1" x14ac:dyDescent="0.25">
      <c r="A86" s="56">
        <v>85</v>
      </c>
      <c r="B86" s="72"/>
      <c r="C86" s="56"/>
      <c r="D86" s="66"/>
      <c r="E86" s="58"/>
      <c r="F86" s="59"/>
      <c r="G86" s="73"/>
      <c r="H86" s="61"/>
      <c r="I86" s="56"/>
      <c r="J86" s="63" t="str">
        <f t="shared" si="13"/>
        <v/>
      </c>
      <c r="K86" s="63" t="str">
        <f t="shared" si="14"/>
        <v/>
      </c>
      <c r="L86" s="63" t="str">
        <f t="shared" si="15"/>
        <v/>
      </c>
      <c r="M86" s="64" t="str">
        <f>IF(ISBLANK(B86),"",SUMIF('FEE ENTRY'!$C$3:$C$202,B86,'FEE ENTRY'!$I$3:$I$202))</f>
        <v/>
      </c>
      <c r="N86" s="64" t="str">
        <f t="shared" si="16"/>
        <v/>
      </c>
      <c r="O86" s="65" t="str">
        <f t="shared" si="17"/>
        <v/>
      </c>
    </row>
    <row r="87" spans="1:15" s="65" customFormat="1" ht="18" customHeight="1" x14ac:dyDescent="0.25">
      <c r="A87" s="56">
        <v>86</v>
      </c>
      <c r="B87" s="72"/>
      <c r="C87" s="56"/>
      <c r="D87" s="66"/>
      <c r="E87" s="58"/>
      <c r="F87" s="59"/>
      <c r="G87" s="73"/>
      <c r="H87" s="61"/>
      <c r="I87" s="56"/>
      <c r="J87" s="63" t="str">
        <f t="shared" si="13"/>
        <v/>
      </c>
      <c r="K87" s="63" t="str">
        <f t="shared" si="14"/>
        <v/>
      </c>
      <c r="L87" s="63" t="str">
        <f t="shared" si="15"/>
        <v/>
      </c>
      <c r="M87" s="64" t="str">
        <f>IF(ISBLANK(B87),"",SUMIF('FEE ENTRY'!$C$3:$C$202,B87,'FEE ENTRY'!$I$3:$I$202))</f>
        <v/>
      </c>
      <c r="N87" s="64" t="str">
        <f t="shared" si="16"/>
        <v/>
      </c>
      <c r="O87" s="65" t="str">
        <f t="shared" si="17"/>
        <v/>
      </c>
    </row>
    <row r="88" spans="1:15" s="65" customFormat="1" ht="18" customHeight="1" x14ac:dyDescent="0.25">
      <c r="A88" s="56">
        <v>87</v>
      </c>
      <c r="B88" s="72"/>
      <c r="C88" s="56"/>
      <c r="D88" s="66"/>
      <c r="E88" s="58"/>
      <c r="F88" s="59"/>
      <c r="G88" s="73"/>
      <c r="H88" s="61"/>
      <c r="I88" s="56"/>
      <c r="J88" s="63" t="str">
        <f t="shared" si="13"/>
        <v/>
      </c>
      <c r="K88" s="63" t="str">
        <f t="shared" si="14"/>
        <v/>
      </c>
      <c r="L88" s="63" t="str">
        <f t="shared" si="15"/>
        <v/>
      </c>
      <c r="M88" s="64" t="str">
        <f>IF(ISBLANK(B88),"",SUMIF('FEE ENTRY'!$C$3:$C$202,B88,'FEE ENTRY'!$I$3:$I$202))</f>
        <v/>
      </c>
      <c r="N88" s="64" t="str">
        <f t="shared" si="16"/>
        <v/>
      </c>
      <c r="O88" s="65" t="str">
        <f t="shared" si="17"/>
        <v/>
      </c>
    </row>
    <row r="89" spans="1:15" s="65" customFormat="1" ht="18" customHeight="1" x14ac:dyDescent="0.25">
      <c r="A89" s="56">
        <v>88</v>
      </c>
      <c r="B89" s="72"/>
      <c r="C89" s="56"/>
      <c r="D89" s="66"/>
      <c r="E89" s="58"/>
      <c r="F89" s="59"/>
      <c r="G89" s="73"/>
      <c r="H89" s="61"/>
      <c r="I89" s="56"/>
      <c r="J89" s="63" t="str">
        <f t="shared" si="13"/>
        <v/>
      </c>
      <c r="K89" s="63" t="str">
        <f t="shared" si="14"/>
        <v/>
      </c>
      <c r="L89" s="63" t="str">
        <f t="shared" si="15"/>
        <v/>
      </c>
      <c r="M89" s="64" t="str">
        <f>IF(ISBLANK(B89),"",SUMIF('FEE ENTRY'!$C$3:$C$202,B89,'FEE ENTRY'!$I$3:$I$202))</f>
        <v/>
      </c>
      <c r="N89" s="64" t="str">
        <f t="shared" si="16"/>
        <v/>
      </c>
      <c r="O89" s="65" t="str">
        <f t="shared" si="17"/>
        <v/>
      </c>
    </row>
    <row r="90" spans="1:15" s="65" customFormat="1" ht="18" customHeight="1" x14ac:dyDescent="0.25">
      <c r="A90" s="56">
        <v>89</v>
      </c>
      <c r="B90" s="72"/>
      <c r="C90" s="56"/>
      <c r="D90" s="66"/>
      <c r="E90" s="58"/>
      <c r="F90" s="59"/>
      <c r="G90" s="73"/>
      <c r="H90" s="61"/>
      <c r="I90" s="56"/>
      <c r="J90" s="63" t="str">
        <f t="shared" si="13"/>
        <v/>
      </c>
      <c r="K90" s="63" t="str">
        <f t="shared" si="14"/>
        <v/>
      </c>
      <c r="L90" s="63" t="str">
        <f t="shared" si="15"/>
        <v/>
      </c>
      <c r="M90" s="64" t="str">
        <f>IF(ISBLANK(B90),"",SUMIF('FEE ENTRY'!$C$3:$C$202,B90,'FEE ENTRY'!$I$3:$I$202))</f>
        <v/>
      </c>
      <c r="N90" s="64" t="str">
        <f t="shared" si="16"/>
        <v/>
      </c>
      <c r="O90" s="65" t="str">
        <f t="shared" si="17"/>
        <v/>
      </c>
    </row>
    <row r="91" spans="1:15" s="65" customFormat="1" ht="18" customHeight="1" x14ac:dyDescent="0.25">
      <c r="A91" s="56">
        <v>90</v>
      </c>
      <c r="B91" s="72"/>
      <c r="C91" s="56"/>
      <c r="D91" s="66"/>
      <c r="E91" s="58"/>
      <c r="F91" s="59"/>
      <c r="G91" s="73"/>
      <c r="H91" s="61"/>
      <c r="I91" s="56"/>
      <c r="J91" s="63" t="str">
        <f t="shared" si="13"/>
        <v/>
      </c>
      <c r="K91" s="63" t="str">
        <f t="shared" si="14"/>
        <v/>
      </c>
      <c r="L91" s="63" t="str">
        <f t="shared" si="15"/>
        <v/>
      </c>
      <c r="M91" s="64" t="str">
        <f>IF(ISBLANK(B91),"",SUMIF('FEE ENTRY'!$C$3:$C$202,B91,'FEE ENTRY'!$I$3:$I$202))</f>
        <v/>
      </c>
      <c r="N91" s="64" t="str">
        <f t="shared" si="16"/>
        <v/>
      </c>
      <c r="O91" s="65" t="str">
        <f t="shared" si="17"/>
        <v/>
      </c>
    </row>
    <row r="92" spans="1:15" s="65" customFormat="1" ht="18" customHeight="1" x14ac:dyDescent="0.25">
      <c r="A92" s="56">
        <v>91</v>
      </c>
      <c r="B92" s="72"/>
      <c r="C92" s="56"/>
      <c r="D92" s="66"/>
      <c r="E92" s="58"/>
      <c r="F92" s="59"/>
      <c r="G92" s="73"/>
      <c r="H92" s="61"/>
      <c r="I92" s="56"/>
      <c r="J92" s="63" t="str">
        <f t="shared" si="13"/>
        <v/>
      </c>
      <c r="K92" s="63" t="str">
        <f t="shared" si="14"/>
        <v/>
      </c>
      <c r="L92" s="63" t="str">
        <f t="shared" si="15"/>
        <v/>
      </c>
      <c r="M92" s="64" t="str">
        <f>IF(ISBLANK(B92),"",SUMIF('FEE ENTRY'!$C$3:$C$202,B92,'FEE ENTRY'!$I$3:$I$202))</f>
        <v/>
      </c>
      <c r="N92" s="64" t="str">
        <f t="shared" si="16"/>
        <v/>
      </c>
      <c r="O92" s="65" t="str">
        <f t="shared" si="17"/>
        <v/>
      </c>
    </row>
    <row r="93" spans="1:15" s="65" customFormat="1" ht="18" customHeight="1" x14ac:dyDescent="0.25">
      <c r="A93" s="56">
        <v>92</v>
      </c>
      <c r="B93" s="72"/>
      <c r="C93" s="56"/>
      <c r="D93" s="66"/>
      <c r="E93" s="58"/>
      <c r="F93" s="59"/>
      <c r="G93" s="73"/>
      <c r="H93" s="61"/>
      <c r="I93" s="56"/>
      <c r="J93" s="63" t="str">
        <f t="shared" si="13"/>
        <v/>
      </c>
      <c r="K93" s="63" t="str">
        <f t="shared" si="14"/>
        <v/>
      </c>
      <c r="L93" s="63" t="str">
        <f t="shared" si="15"/>
        <v/>
      </c>
      <c r="M93" s="64" t="str">
        <f>IF(ISBLANK(B93),"",SUMIF('FEE ENTRY'!$C$3:$C$202,B93,'FEE ENTRY'!$I$3:$I$202))</f>
        <v/>
      </c>
      <c r="N93" s="64" t="str">
        <f t="shared" si="16"/>
        <v/>
      </c>
      <c r="O93" s="65" t="str">
        <f t="shared" si="17"/>
        <v/>
      </c>
    </row>
    <row r="94" spans="1:15" s="65" customFormat="1" ht="18" customHeight="1" x14ac:dyDescent="0.25">
      <c r="A94" s="56">
        <v>93</v>
      </c>
      <c r="B94" s="72"/>
      <c r="C94" s="56"/>
      <c r="D94" s="66"/>
      <c r="E94" s="58"/>
      <c r="F94" s="59"/>
      <c r="G94" s="73"/>
      <c r="H94" s="61"/>
      <c r="I94" s="56"/>
      <c r="J94" s="63" t="str">
        <f t="shared" si="13"/>
        <v/>
      </c>
      <c r="K94" s="63" t="str">
        <f t="shared" si="14"/>
        <v/>
      </c>
      <c r="L94" s="63" t="str">
        <f t="shared" si="15"/>
        <v/>
      </c>
      <c r="M94" s="64" t="str">
        <f>IF(ISBLANK(B94),"",SUMIF('FEE ENTRY'!$C$3:$C$202,B94,'FEE ENTRY'!$I$3:$I$202))</f>
        <v/>
      </c>
      <c r="N94" s="64" t="str">
        <f t="shared" si="16"/>
        <v/>
      </c>
      <c r="O94" s="65" t="str">
        <f t="shared" si="17"/>
        <v/>
      </c>
    </row>
    <row r="95" spans="1:15" s="65" customFormat="1" ht="18" customHeight="1" x14ac:dyDescent="0.25">
      <c r="A95" s="56">
        <v>94</v>
      </c>
      <c r="B95" s="72"/>
      <c r="C95" s="56"/>
      <c r="D95" s="66"/>
      <c r="E95" s="58"/>
      <c r="F95" s="59"/>
      <c r="G95" s="73"/>
      <c r="H95" s="61"/>
      <c r="I95" s="56"/>
      <c r="J95" s="63" t="str">
        <f t="shared" si="13"/>
        <v/>
      </c>
      <c r="K95" s="63" t="str">
        <f t="shared" si="14"/>
        <v/>
      </c>
      <c r="L95" s="63" t="str">
        <f t="shared" si="15"/>
        <v/>
      </c>
      <c r="M95" s="64" t="str">
        <f>IF(ISBLANK(B95),"",SUMIF('FEE ENTRY'!$C$3:$C$202,B95,'FEE ENTRY'!$I$3:$I$202))</f>
        <v/>
      </c>
      <c r="N95" s="64" t="str">
        <f t="shared" si="16"/>
        <v/>
      </c>
      <c r="O95" s="65" t="str">
        <f t="shared" si="17"/>
        <v/>
      </c>
    </row>
    <row r="96" spans="1:15" s="65" customFormat="1" ht="18" customHeight="1" x14ac:dyDescent="0.25">
      <c r="A96" s="56">
        <v>95</v>
      </c>
      <c r="B96" s="72"/>
      <c r="C96" s="56"/>
      <c r="D96" s="66"/>
      <c r="E96" s="58"/>
      <c r="F96" s="59"/>
      <c r="G96" s="73"/>
      <c r="H96" s="61"/>
      <c r="I96" s="56"/>
      <c r="J96" s="63" t="str">
        <f t="shared" si="13"/>
        <v/>
      </c>
      <c r="K96" s="63" t="str">
        <f t="shared" si="14"/>
        <v/>
      </c>
      <c r="L96" s="63" t="str">
        <f t="shared" si="15"/>
        <v/>
      </c>
      <c r="M96" s="64" t="str">
        <f>IF(ISBLANK(B96),"",SUMIF('FEE ENTRY'!$C$3:$C$202,B96,'FEE ENTRY'!$I$3:$I$202))</f>
        <v/>
      </c>
      <c r="N96" s="64" t="str">
        <f t="shared" si="16"/>
        <v/>
      </c>
      <c r="O96" s="65" t="str">
        <f t="shared" si="17"/>
        <v/>
      </c>
    </row>
    <row r="97" spans="1:15" s="65" customFormat="1" ht="18" customHeight="1" x14ac:dyDescent="0.25">
      <c r="A97" s="56">
        <v>96</v>
      </c>
      <c r="B97" s="72"/>
      <c r="C97" s="56"/>
      <c r="D97" s="66"/>
      <c r="E97" s="58"/>
      <c r="F97" s="59"/>
      <c r="G97" s="73"/>
      <c r="H97" s="61"/>
      <c r="I97" s="56"/>
      <c r="J97" s="63" t="str">
        <f t="shared" si="13"/>
        <v/>
      </c>
      <c r="K97" s="63" t="str">
        <f t="shared" si="14"/>
        <v/>
      </c>
      <c r="L97" s="63" t="str">
        <f t="shared" si="15"/>
        <v/>
      </c>
      <c r="M97" s="64" t="str">
        <f>IF(ISBLANK(B97),"",SUMIF('FEE ENTRY'!$C$3:$C$202,B97,'FEE ENTRY'!$I$3:$I$202))</f>
        <v/>
      </c>
      <c r="N97" s="64" t="str">
        <f t="shared" si="16"/>
        <v/>
      </c>
      <c r="O97" s="65" t="str">
        <f t="shared" si="17"/>
        <v/>
      </c>
    </row>
    <row r="98" spans="1:15" s="65" customFormat="1" ht="18" customHeight="1" x14ac:dyDescent="0.25">
      <c r="A98" s="56">
        <v>97</v>
      </c>
      <c r="B98" s="72"/>
      <c r="C98" s="56"/>
      <c r="D98" s="66"/>
      <c r="E98" s="58"/>
      <c r="F98" s="59"/>
      <c r="G98" s="73"/>
      <c r="H98" s="61"/>
      <c r="I98" s="56"/>
      <c r="J98" s="63" t="str">
        <f t="shared" si="13"/>
        <v/>
      </c>
      <c r="K98" s="63" t="str">
        <f t="shared" si="14"/>
        <v/>
      </c>
      <c r="L98" s="63" t="str">
        <f t="shared" si="15"/>
        <v/>
      </c>
      <c r="M98" s="64" t="str">
        <f>IF(ISBLANK(B98),"",SUMIF('FEE ENTRY'!$C$3:$C$202,B98,'FEE ENTRY'!$I$3:$I$202))</f>
        <v/>
      </c>
      <c r="N98" s="64" t="str">
        <f t="shared" si="16"/>
        <v/>
      </c>
      <c r="O98" s="65" t="str">
        <f t="shared" si="17"/>
        <v/>
      </c>
    </row>
    <row r="99" spans="1:15" s="65" customFormat="1" ht="18" customHeight="1" x14ac:dyDescent="0.25">
      <c r="A99" s="56">
        <v>98</v>
      </c>
      <c r="B99" s="72"/>
      <c r="C99" s="56"/>
      <c r="D99" s="66"/>
      <c r="E99" s="58"/>
      <c r="F99" s="59"/>
      <c r="G99" s="73"/>
      <c r="H99" s="61"/>
      <c r="I99" s="56"/>
      <c r="J99" s="63" t="str">
        <f t="shared" si="13"/>
        <v/>
      </c>
      <c r="K99" s="63" t="str">
        <f t="shared" si="14"/>
        <v/>
      </c>
      <c r="L99" s="63" t="str">
        <f t="shared" si="15"/>
        <v/>
      </c>
      <c r="M99" s="64" t="str">
        <f>IF(ISBLANK(B99),"",SUMIF('FEE ENTRY'!$C$3:$C$202,B99,'FEE ENTRY'!$I$3:$I$202))</f>
        <v/>
      </c>
      <c r="N99" s="64" t="str">
        <f t="shared" si="16"/>
        <v/>
      </c>
      <c r="O99" s="65" t="str">
        <f t="shared" si="17"/>
        <v/>
      </c>
    </row>
    <row r="100" spans="1:15" s="65" customFormat="1" ht="18" customHeight="1" x14ac:dyDescent="0.25">
      <c r="A100" s="56">
        <v>99</v>
      </c>
      <c r="B100" s="72"/>
      <c r="C100" s="56"/>
      <c r="D100" s="66"/>
      <c r="E100" s="58"/>
      <c r="F100" s="59"/>
      <c r="G100" s="73"/>
      <c r="H100" s="61"/>
      <c r="I100" s="56"/>
      <c r="J100" s="63" t="str">
        <f t="shared" si="13"/>
        <v/>
      </c>
      <c r="K100" s="63" t="str">
        <f t="shared" si="14"/>
        <v/>
      </c>
      <c r="L100" s="63" t="str">
        <f t="shared" si="15"/>
        <v/>
      </c>
      <c r="M100" s="64" t="str">
        <f>IF(ISBLANK(B100),"",SUMIF('FEE ENTRY'!$C$3:$C$202,B100,'FEE ENTRY'!$I$3:$I$202))</f>
        <v/>
      </c>
      <c r="N100" s="64" t="str">
        <f t="shared" si="16"/>
        <v/>
      </c>
      <c r="O100" s="65" t="str">
        <f t="shared" si="17"/>
        <v/>
      </c>
    </row>
    <row r="101" spans="1:15" s="65" customFormat="1" ht="18" customHeight="1" thickBot="1" x14ac:dyDescent="0.3">
      <c r="A101" s="56">
        <v>100</v>
      </c>
      <c r="B101" s="72"/>
      <c r="C101" s="56"/>
      <c r="D101" s="66"/>
      <c r="E101" s="58"/>
      <c r="F101" s="59"/>
      <c r="G101" s="73"/>
      <c r="H101" s="61"/>
      <c r="I101" s="56"/>
      <c r="J101" s="63" t="str">
        <f t="shared" si="13"/>
        <v/>
      </c>
      <c r="K101" s="63" t="str">
        <f t="shared" si="14"/>
        <v/>
      </c>
      <c r="L101" s="63" t="str">
        <f t="shared" si="15"/>
        <v/>
      </c>
      <c r="M101" s="64" t="str">
        <f>IF(ISBLANK(B101),"",SUMIF('FEE ENTRY'!$C$3:$C$202,B101,'FEE ENTRY'!$I$3:$I$202))</f>
        <v/>
      </c>
      <c r="N101" s="64" t="str">
        <f t="shared" si="16"/>
        <v/>
      </c>
      <c r="O101" s="65" t="str">
        <f t="shared" si="17"/>
        <v/>
      </c>
    </row>
    <row r="102" spans="1:15" s="44" customFormat="1" ht="18" customHeight="1" thickBot="1" x14ac:dyDescent="0.3">
      <c r="A102" s="45"/>
      <c r="B102" s="47"/>
      <c r="C102" s="46"/>
      <c r="D102" s="48"/>
      <c r="E102" s="49"/>
      <c r="F102" s="50"/>
      <c r="G102" s="51"/>
      <c r="H102" s="52"/>
      <c r="I102" s="53" t="s">
        <v>28</v>
      </c>
      <c r="J102" s="54">
        <f>SUBTOTAL(9,J2:J101)</f>
        <v>378400</v>
      </c>
      <c r="K102" s="54">
        <f>SUBTOTAL(9,K2:K101)</f>
        <v>19400</v>
      </c>
      <c r="L102" s="54">
        <f>SUBTOTAL(9,L2:L101)</f>
        <v>359000</v>
      </c>
      <c r="M102" s="54">
        <f>SUBTOTAL(9,M2:M101)</f>
        <v>0</v>
      </c>
      <c r="N102" s="54">
        <f>SUBTOTAL(9,N2:N101)</f>
        <v>359000</v>
      </c>
    </row>
  </sheetData>
  <sheetProtection selectLockedCells="1"/>
  <sortState xmlns:xlrd2="http://schemas.microsoft.com/office/spreadsheetml/2017/richdata2" ref="B2:O101">
    <sortCondition ref="O2:O101"/>
  </sortState>
  <phoneticPr fontId="8" type="noConversion"/>
  <dataValidations count="2">
    <dataValidation type="list" allowBlank="1" showInputMessage="1" showErrorMessage="1" sqref="C2:C101" xr:uid="{06BA2F47-5E01-47A8-8547-1085D3ECFD8F}">
      <formula1>"K.G.,1st,2nd,3rd,4th,5th,6th,7th,8th,9th,10th,11th,12th"</formula1>
    </dataValidation>
    <dataValidation type="list" allowBlank="1" showInputMessage="1" showErrorMessage="1" sqref="E1:E1048576" xr:uid="{859E1D45-8E88-4D2D-A0B9-4B99DC667791}">
      <formula1>"Girl,Boy"</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20CA-7D87-4D41-BC60-7ADA30474B4A}">
  <sheetPr codeName="Sheet2"/>
  <dimension ref="A1:W203"/>
  <sheetViews>
    <sheetView zoomScaleNormal="100" workbookViewId="0">
      <pane xSplit="3" ySplit="2" topLeftCell="D3" activePane="bottomRight" state="frozen"/>
      <selection pane="topRight" activeCell="E1" sqref="E1"/>
      <selection pane="bottomLeft" activeCell="A3" sqref="A3"/>
      <selection pane="bottomRight" activeCell="N31" sqref="N31"/>
    </sheetView>
  </sheetViews>
  <sheetFormatPr defaultRowHeight="15" x14ac:dyDescent="0.25"/>
  <cols>
    <col min="1" max="1" width="10" style="19" bestFit="1" customWidth="1"/>
    <col min="2" max="2" width="11.42578125" style="18" customWidth="1"/>
    <col min="3" max="3" width="29.7109375" style="19" bestFit="1" customWidth="1"/>
    <col min="4" max="4" width="10.7109375" customWidth="1"/>
    <col min="5" max="5" width="9" style="2" bestFit="1" customWidth="1"/>
    <col min="6" max="6" width="8.42578125" style="2" bestFit="1" customWidth="1"/>
    <col min="7" max="7" width="11.42578125" style="91" bestFit="1" customWidth="1"/>
    <col min="8" max="8" width="17.42578125" style="55" bestFit="1" customWidth="1"/>
    <col min="9" max="9" width="8.5703125" style="93" bestFit="1" customWidth="1"/>
    <col min="10" max="10" width="14.7109375" style="55" bestFit="1" customWidth="1"/>
    <col min="11" max="11" width="12.28515625" style="55" bestFit="1" customWidth="1"/>
    <col min="13" max="13" width="21" bestFit="1" customWidth="1"/>
    <col min="14" max="17" width="8.28515625" bestFit="1" customWidth="1"/>
    <col min="18" max="18" width="8.7109375" bestFit="1" customWidth="1"/>
    <col min="19" max="19" width="8.28515625" bestFit="1" customWidth="1"/>
    <col min="20" max="20" width="16.42578125" bestFit="1" customWidth="1"/>
    <col min="21" max="21" width="8.28515625" bestFit="1" customWidth="1"/>
    <col min="22" max="22" width="14.28515625" bestFit="1" customWidth="1"/>
    <col min="23" max="23" width="12" bestFit="1" customWidth="1"/>
  </cols>
  <sheetData>
    <row r="1" spans="1:16" ht="15.75" thickBot="1" x14ac:dyDescent="0.3">
      <c r="P1" s="2"/>
    </row>
    <row r="2" spans="1:16" ht="15.75" thickBot="1" x14ac:dyDescent="0.3">
      <c r="A2" s="129" t="s">
        <v>51</v>
      </c>
      <c r="B2" s="111" t="s">
        <v>53</v>
      </c>
      <c r="C2" s="42" t="s">
        <v>56</v>
      </c>
      <c r="D2" s="40" t="s">
        <v>59</v>
      </c>
      <c r="E2" s="41" t="s">
        <v>52</v>
      </c>
      <c r="F2" s="41" t="s">
        <v>38</v>
      </c>
      <c r="G2" s="41" t="s">
        <v>60</v>
      </c>
      <c r="H2" s="40" t="s">
        <v>61</v>
      </c>
      <c r="I2" s="42" t="s">
        <v>36</v>
      </c>
      <c r="J2" s="40" t="s">
        <v>35</v>
      </c>
      <c r="K2" s="43" t="s">
        <v>37</v>
      </c>
    </row>
    <row r="3" spans="1:16" x14ac:dyDescent="0.25">
      <c r="A3" s="130">
        <v>202425001</v>
      </c>
      <c r="D3" s="19" t="str">
        <f>IF(ISBLANK(C3),"",VLOOKUP(C3,ADMISSION!B:N,2,FALSE))</f>
        <v/>
      </c>
      <c r="E3" s="2" t="str">
        <f>IF(ISBLANK(C3),"",VLOOKUP(C3,ADMISSION!B:N,9,0))</f>
        <v/>
      </c>
      <c r="F3" s="2" t="str">
        <f>IF(ISBLANK(C3),"",VLOOKUP(C3,ADMISSION!B:N,10,))</f>
        <v/>
      </c>
      <c r="G3" s="91" t="str">
        <f>IF(ISBLANK(C3),"",E3-F3)</f>
        <v/>
      </c>
      <c r="H3" s="91" t="str">
        <f>IF(ISBLANK(C3),"",G3-SUMIF($C$1:C2,C3,$I$1:I2))</f>
        <v/>
      </c>
      <c r="J3" s="91" t="str">
        <f>IF(ISBLANK(C3),"",G3-K3)</f>
        <v/>
      </c>
      <c r="K3" s="94" t="str">
        <f>IF(ISBLANK(C3),"",SUMIF($C$1:C3,C3,$I$1:I3))</f>
        <v/>
      </c>
    </row>
    <row r="4" spans="1:16" x14ac:dyDescent="0.25">
      <c r="A4" s="130">
        <v>202425002</v>
      </c>
      <c r="D4" s="19" t="str">
        <f>IF(ISBLANK(C4),"",VLOOKUP(C4,ADMISSION!B:N,2,FALSE))</f>
        <v/>
      </c>
      <c r="E4" s="2" t="str">
        <f>IF(ISBLANK(C4),"",VLOOKUP(C4,ADMISSION!B:N,9,0))</f>
        <v/>
      </c>
      <c r="F4" s="2" t="str">
        <f>IF(ISBLANK(C4),"",VLOOKUP(C4,ADMISSION!B:N,10,))</f>
        <v/>
      </c>
      <c r="G4" s="91" t="str">
        <f t="shared" ref="G4:G67" si="0">IF(ISBLANK(C4),"",E4-F4)</f>
        <v/>
      </c>
      <c r="H4" s="91" t="str">
        <f>IF(ISBLANK(C4),"",G4-SUMIF($C$1:C3,C4,$I$1:I3))</f>
        <v/>
      </c>
      <c r="J4" s="91" t="str">
        <f t="shared" ref="J4:J67" si="1">IF(ISBLANK(C4),"",G4-K4)</f>
        <v/>
      </c>
      <c r="K4" s="94" t="str">
        <f>IF(ISBLANK(C4),"",SUMIF($C$1:C4,C4,$I$1:I4))</f>
        <v/>
      </c>
    </row>
    <row r="5" spans="1:16" x14ac:dyDescent="0.25">
      <c r="A5" s="130">
        <v>202425003</v>
      </c>
      <c r="D5" s="19" t="str">
        <f>IF(ISBLANK(C5),"",VLOOKUP(C5,ADMISSION!B:N,2,FALSE))</f>
        <v/>
      </c>
      <c r="E5" s="2" t="str">
        <f>IF(ISBLANK(C5),"",VLOOKUP(C5,ADMISSION!B:N,9,0))</f>
        <v/>
      </c>
      <c r="F5" s="2" t="str">
        <f>IF(ISBLANK(C5),"",VLOOKUP(C5,ADMISSION!B:N,10,))</f>
        <v/>
      </c>
      <c r="G5" s="91" t="str">
        <f t="shared" si="0"/>
        <v/>
      </c>
      <c r="H5" s="91" t="str">
        <f>IF(ISBLANK(C5),"",G5-SUMIF($C$1:C4,C5,$I$1:I4))</f>
        <v/>
      </c>
      <c r="J5" s="91" t="str">
        <f t="shared" si="1"/>
        <v/>
      </c>
      <c r="K5" s="94" t="str">
        <f>IF(ISBLANK(C5),"",SUMIF($C$1:C5,C5,$I$1:I5))</f>
        <v/>
      </c>
    </row>
    <row r="6" spans="1:16" x14ac:dyDescent="0.25">
      <c r="A6" s="130">
        <v>202425004</v>
      </c>
      <c r="D6" s="19" t="str">
        <f>IF(ISBLANK(C6),"",VLOOKUP(C6,ADMISSION!B:N,2,FALSE))</f>
        <v/>
      </c>
      <c r="E6" s="2" t="str">
        <f>IF(ISBLANK(C6),"",VLOOKUP(C6,ADMISSION!B:N,9,0))</f>
        <v/>
      </c>
      <c r="F6" s="2" t="str">
        <f>IF(ISBLANK(C6),"",VLOOKUP(C6,ADMISSION!B:N,10,))</f>
        <v/>
      </c>
      <c r="G6" s="91" t="str">
        <f t="shared" si="0"/>
        <v/>
      </c>
      <c r="H6" s="91" t="str">
        <f>IF(ISBLANK(C6),"",G6-SUMIF($C$1:C5,C6,$I$1:I5))</f>
        <v/>
      </c>
      <c r="J6" s="91" t="str">
        <f t="shared" si="1"/>
        <v/>
      </c>
      <c r="K6" s="94" t="str">
        <f>IF(ISBLANK(C6),"",SUMIF($C$1:C6,C6,$I$1:I6))</f>
        <v/>
      </c>
      <c r="M6" s="19"/>
    </row>
    <row r="7" spans="1:16" x14ac:dyDescent="0.25">
      <c r="A7" s="130">
        <v>202425005</v>
      </c>
      <c r="D7" s="19" t="str">
        <f>IF(ISBLANK(C7),"",VLOOKUP(C7,ADMISSION!B:N,2,FALSE))</f>
        <v/>
      </c>
      <c r="E7" s="2" t="str">
        <f>IF(ISBLANK(C7),"",VLOOKUP(C7,ADMISSION!B:N,9,0))</f>
        <v/>
      </c>
      <c r="F7" s="2" t="str">
        <f>IF(ISBLANK(C7),"",VLOOKUP(C7,ADMISSION!B:N,10,))</f>
        <v/>
      </c>
      <c r="G7" s="91" t="str">
        <f>IF(ISBLANK(C7),"",E7-F7)</f>
        <v/>
      </c>
      <c r="H7" s="91" t="str">
        <f>IF(ISBLANK(C7),"",G7-SUMIF($C$1:C6,C7,$I$1:I6))</f>
        <v/>
      </c>
      <c r="J7" s="91" t="str">
        <f>IF(ISBLANK(C7),"",G7-K7)</f>
        <v/>
      </c>
      <c r="K7" s="94" t="str">
        <f>IF(ISBLANK(C7),"",SUMIF($C$1:C7,C7,$I$1:I7))</f>
        <v/>
      </c>
    </row>
    <row r="8" spans="1:16" x14ac:dyDescent="0.25">
      <c r="A8" s="130">
        <v>202425006</v>
      </c>
      <c r="D8" s="19" t="str">
        <f>IF(ISBLANK(C8),"",VLOOKUP(C8,ADMISSION!B:N,2,FALSE))</f>
        <v/>
      </c>
      <c r="E8" s="2" t="str">
        <f>IF(ISBLANK(C8),"",VLOOKUP(C8,ADMISSION!B:N,9,0))</f>
        <v/>
      </c>
      <c r="F8" s="2" t="str">
        <f>IF(ISBLANK(C8),"",VLOOKUP(C8,ADMISSION!B:N,10,))</f>
        <v/>
      </c>
      <c r="G8" s="91" t="str">
        <f t="shared" si="0"/>
        <v/>
      </c>
      <c r="H8" s="91" t="str">
        <f>IF(ISBLANK(C8),"",G8-SUMIF($C$1:C7,C8,$I$1:I7))</f>
        <v/>
      </c>
      <c r="J8" s="91" t="str">
        <f t="shared" si="1"/>
        <v/>
      </c>
      <c r="K8" s="94" t="str">
        <f>IF(ISBLANK(C8),"",SUMIF($C$1:C8,C8,$I$1:I8))</f>
        <v/>
      </c>
    </row>
    <row r="9" spans="1:16" x14ac:dyDescent="0.25">
      <c r="A9" s="130">
        <v>202425007</v>
      </c>
      <c r="D9" s="19" t="str">
        <f>IF(ISBLANK(C9),"",VLOOKUP(C9,ADMISSION!B:N,2,FALSE))</f>
        <v/>
      </c>
      <c r="E9" s="2" t="str">
        <f>IF(ISBLANK(C9),"",VLOOKUP(C9,ADMISSION!B:N,9,0))</f>
        <v/>
      </c>
      <c r="F9" s="2" t="str">
        <f>IF(ISBLANK(C9),"",VLOOKUP(C9,ADMISSION!B:N,10,))</f>
        <v/>
      </c>
      <c r="G9" s="91" t="str">
        <f t="shared" si="0"/>
        <v/>
      </c>
      <c r="H9" s="91" t="str">
        <f>IF(ISBLANK(C9),"",G9-SUMIF($C$1:C8,C9,$I$1:I8))</f>
        <v/>
      </c>
      <c r="J9" s="91" t="str">
        <f t="shared" si="1"/>
        <v/>
      </c>
      <c r="K9" s="94" t="str">
        <f>IF(ISBLANK(C9),"",SUMIF($C$1:C9,C9,$I$1:I9))</f>
        <v/>
      </c>
    </row>
    <row r="10" spans="1:16" x14ac:dyDescent="0.25">
      <c r="A10" s="130">
        <v>202425008</v>
      </c>
      <c r="D10" s="19" t="str">
        <f>IF(ISBLANK(C10),"",VLOOKUP(C10,ADMISSION!B:N,2,FALSE))</f>
        <v/>
      </c>
      <c r="E10" s="2" t="str">
        <f>IF(ISBLANK(C10),"",VLOOKUP(C10,ADMISSION!B:N,9,0))</f>
        <v/>
      </c>
      <c r="F10" s="2" t="str">
        <f>IF(ISBLANK(C10),"",VLOOKUP(C10,ADMISSION!B:N,10,))</f>
        <v/>
      </c>
      <c r="G10" s="91" t="str">
        <f t="shared" si="0"/>
        <v/>
      </c>
      <c r="H10" s="91" t="str">
        <f>IF(ISBLANK(C10),"",G10-SUMIF($C$1:C9,C10,$I$1:I9))</f>
        <v/>
      </c>
      <c r="J10" s="91" t="str">
        <f t="shared" si="1"/>
        <v/>
      </c>
      <c r="K10" s="94" t="str">
        <f>IF(ISBLANK(C10),"",SUMIF($C$1:C10,C10,$I$1:I10))</f>
        <v/>
      </c>
    </row>
    <row r="11" spans="1:16" x14ac:dyDescent="0.25">
      <c r="A11" s="130">
        <v>202425009</v>
      </c>
      <c r="D11" s="19" t="str">
        <f>IF(ISBLANK(C11),"",VLOOKUP(C11,ADMISSION!B:N,2,FALSE))</f>
        <v/>
      </c>
      <c r="E11" s="2" t="str">
        <f>IF(ISBLANK(C11),"",VLOOKUP(C11,ADMISSION!B:N,9,0))</f>
        <v/>
      </c>
      <c r="F11" s="2" t="str">
        <f>IF(ISBLANK(C11),"",VLOOKUP(C11,ADMISSION!B:N,10,))</f>
        <v/>
      </c>
      <c r="G11" s="91" t="str">
        <f t="shared" si="0"/>
        <v/>
      </c>
      <c r="H11" s="91" t="str">
        <f>IF(ISBLANK(C11),"",G11-SUMIF($C$1:C10,C11,$I$1:I10))</f>
        <v/>
      </c>
      <c r="J11" s="91" t="str">
        <f t="shared" si="1"/>
        <v/>
      </c>
      <c r="K11" s="94" t="str">
        <f>IF(ISBLANK(C11),"",SUMIF($C$1:C11,C11,$I$1:I11))</f>
        <v/>
      </c>
    </row>
    <row r="12" spans="1:16" x14ac:dyDescent="0.25">
      <c r="A12" s="130">
        <v>202425010</v>
      </c>
      <c r="D12" s="19" t="str">
        <f>IF(ISBLANK(C12),"",VLOOKUP(C12,ADMISSION!B:N,2,FALSE))</f>
        <v/>
      </c>
      <c r="E12" s="2" t="str">
        <f>IF(ISBLANK(C12),"",VLOOKUP(C12,ADMISSION!B:N,9,0))</f>
        <v/>
      </c>
      <c r="F12" s="2" t="str">
        <f>IF(ISBLANK(C12),"",VLOOKUP(C12,ADMISSION!B:N,10,))</f>
        <v/>
      </c>
      <c r="G12" s="91" t="str">
        <f t="shared" si="0"/>
        <v/>
      </c>
      <c r="H12" s="91" t="str">
        <f>IF(ISBLANK(C12),"",G12-SUMIF($C$1:C11,C12,$I$1:I11))</f>
        <v/>
      </c>
      <c r="J12" s="91" t="str">
        <f t="shared" si="1"/>
        <v/>
      </c>
      <c r="K12" s="94" t="str">
        <f>IF(ISBLANK(C12),"",SUMIF($C$1:C12,C12,$I$1:I12))</f>
        <v/>
      </c>
    </row>
    <row r="13" spans="1:16" x14ac:dyDescent="0.25">
      <c r="A13" s="130">
        <v>202425011</v>
      </c>
      <c r="D13" s="19" t="str">
        <f>IF(ISBLANK(C13),"",VLOOKUP(C13,ADMISSION!B:N,2,FALSE))</f>
        <v/>
      </c>
      <c r="E13" s="2" t="str">
        <f>IF(ISBLANK(C13),"",VLOOKUP(C13,ADMISSION!B:N,9,0))</f>
        <v/>
      </c>
      <c r="F13" s="2" t="str">
        <f>IF(ISBLANK(C13),"",VLOOKUP(C13,ADMISSION!B:N,10,))</f>
        <v/>
      </c>
      <c r="G13" s="91" t="str">
        <f t="shared" si="0"/>
        <v/>
      </c>
      <c r="H13" s="91" t="str">
        <f>IF(ISBLANK(C13),"",G13-SUMIF($C$1:C12,C13,$I$1:I12))</f>
        <v/>
      </c>
      <c r="J13" s="91" t="str">
        <f t="shared" si="1"/>
        <v/>
      </c>
      <c r="K13" s="94" t="str">
        <f>IF(ISBLANK(C13),"",SUMIF($C$1:C13,C13,$I$1:I13))</f>
        <v/>
      </c>
    </row>
    <row r="14" spans="1:16" x14ac:dyDescent="0.25">
      <c r="A14" s="130">
        <v>202425012</v>
      </c>
      <c r="D14" s="19" t="str">
        <f>IF(ISBLANK(C14),"",VLOOKUP(C14,ADMISSION!B:N,2,FALSE))</f>
        <v/>
      </c>
      <c r="E14" s="2" t="str">
        <f>IF(ISBLANK(C14),"",VLOOKUP(C14,ADMISSION!B:N,9,0))</f>
        <v/>
      </c>
      <c r="F14" s="2" t="str">
        <f>IF(ISBLANK(C14),"",VLOOKUP(C14,ADMISSION!B:N,10,))</f>
        <v/>
      </c>
      <c r="G14" s="91" t="str">
        <f t="shared" si="0"/>
        <v/>
      </c>
      <c r="H14" s="91" t="str">
        <f>IF(ISBLANK(C14),"",G14-SUMIF($C$1:C13,C14,$I$1:I13))</f>
        <v/>
      </c>
      <c r="J14" s="91" t="str">
        <f t="shared" si="1"/>
        <v/>
      </c>
      <c r="K14" s="94" t="str">
        <f>IF(ISBLANK(C14),"",SUMIF($C$1:C14,C14,$I$1:I14))</f>
        <v/>
      </c>
    </row>
    <row r="15" spans="1:16" x14ac:dyDescent="0.25">
      <c r="A15" s="130">
        <v>202425013</v>
      </c>
      <c r="D15" s="19" t="str">
        <f>IF(ISBLANK(C15),"",VLOOKUP(C15,ADMISSION!B:N,2,FALSE))</f>
        <v/>
      </c>
      <c r="E15" s="2" t="str">
        <f>IF(ISBLANK(C15),"",VLOOKUP(C15,ADMISSION!B:N,9,0))</f>
        <v/>
      </c>
      <c r="F15" s="2" t="str">
        <f>IF(ISBLANK(C15),"",VLOOKUP(C15,ADMISSION!B:N,10,))</f>
        <v/>
      </c>
      <c r="G15" s="91" t="str">
        <f t="shared" si="0"/>
        <v/>
      </c>
      <c r="H15" s="91" t="str">
        <f>IF(ISBLANK(C15),"",G15-SUMIF($C$1:C14,C15,$I$1:I14))</f>
        <v/>
      </c>
      <c r="J15" s="91" t="str">
        <f t="shared" si="1"/>
        <v/>
      </c>
      <c r="K15" s="94" t="str">
        <f>IF(ISBLANK(C15),"",SUMIF($C$1:C15,C15,$I$1:I15))</f>
        <v/>
      </c>
    </row>
    <row r="16" spans="1:16" x14ac:dyDescent="0.25">
      <c r="A16" s="130">
        <v>202425014</v>
      </c>
      <c r="D16" s="19" t="str">
        <f>IF(ISBLANK(C16),"",VLOOKUP(C16,ADMISSION!B:N,2,FALSE))</f>
        <v/>
      </c>
      <c r="E16" s="2" t="str">
        <f>IF(ISBLANK(C16),"",VLOOKUP(C16,ADMISSION!B:N,9,0))</f>
        <v/>
      </c>
      <c r="F16" s="2" t="str">
        <f>IF(ISBLANK(C16),"",VLOOKUP(C16,ADMISSION!B:N,10,))</f>
        <v/>
      </c>
      <c r="G16" s="91" t="str">
        <f t="shared" si="0"/>
        <v/>
      </c>
      <c r="H16" s="91" t="str">
        <f>IF(ISBLANK(C16),"",G16-SUMIF($C$1:C15,C16,$I$1:I15))</f>
        <v/>
      </c>
      <c r="J16" s="91" t="str">
        <f t="shared" si="1"/>
        <v/>
      </c>
      <c r="K16" s="94" t="str">
        <f>IF(ISBLANK(C16),"",SUMIF($C$1:C16,C16,$I$1:I16))</f>
        <v/>
      </c>
      <c r="O16" s="2"/>
    </row>
    <row r="17" spans="1:23" x14ac:dyDescent="0.25">
      <c r="A17" s="130">
        <v>202425015</v>
      </c>
      <c r="D17" s="19" t="str">
        <f>IF(ISBLANK(C17),"",VLOOKUP(C17,ADMISSION!B:N,2,FALSE))</f>
        <v/>
      </c>
      <c r="E17" s="2" t="str">
        <f>IF(ISBLANK(C17),"",VLOOKUP(C17,ADMISSION!B:N,9,0))</f>
        <v/>
      </c>
      <c r="F17" s="2" t="str">
        <f>IF(ISBLANK(C17),"",VLOOKUP(C17,ADMISSION!B:N,10,))</f>
        <v/>
      </c>
      <c r="G17" s="91" t="str">
        <f t="shared" si="0"/>
        <v/>
      </c>
      <c r="H17" s="91" t="str">
        <f>IF(ISBLANK(C17),"",G17-SUMIF($C$1:C16,C17,$I$1:I16))</f>
        <v/>
      </c>
      <c r="J17" s="91" t="str">
        <f t="shared" si="1"/>
        <v/>
      </c>
      <c r="K17" s="94" t="str">
        <f>IF(ISBLANK(C17),"",SUMIF($C$1:C17,C17,$I$1:I17))</f>
        <v/>
      </c>
    </row>
    <row r="18" spans="1:23" x14ac:dyDescent="0.25">
      <c r="A18" s="130">
        <v>202425016</v>
      </c>
      <c r="D18" s="19" t="str">
        <f>IF(ISBLANK(C18),"",VLOOKUP(C18,ADMISSION!B:N,2,FALSE))</f>
        <v/>
      </c>
      <c r="E18" s="2" t="str">
        <f>IF(ISBLANK(C18),"",VLOOKUP(C18,ADMISSION!B:N,9,0))</f>
        <v/>
      </c>
      <c r="F18" s="2" t="str">
        <f>IF(ISBLANK(C18),"",VLOOKUP(C18,ADMISSION!B:N,10,))</f>
        <v/>
      </c>
      <c r="G18" s="91" t="str">
        <f t="shared" si="0"/>
        <v/>
      </c>
      <c r="H18" s="91" t="str">
        <f>IF(ISBLANK(C18),"",G18-SUMIF($C$1:C17,C18,$I$1:I17))</f>
        <v/>
      </c>
      <c r="J18" s="91" t="str">
        <f t="shared" si="1"/>
        <v/>
      </c>
      <c r="K18" s="94" t="str">
        <f>IF(ISBLANK(C18),"",SUMIF($C$1:C18,C18,$I$1:I18))</f>
        <v/>
      </c>
    </row>
    <row r="19" spans="1:23" x14ac:dyDescent="0.25">
      <c r="A19" s="130">
        <v>202425017</v>
      </c>
      <c r="D19" s="19" t="str">
        <f>IF(ISBLANK(C19),"",VLOOKUP(C19,ADMISSION!B:N,2,FALSE))</f>
        <v/>
      </c>
      <c r="E19" s="2" t="str">
        <f>IF(ISBLANK(C19),"",VLOOKUP(C19,ADMISSION!B:N,9,0))</f>
        <v/>
      </c>
      <c r="F19" s="2" t="str">
        <f>IF(ISBLANK(C19),"",VLOOKUP(C19,ADMISSION!B:N,10,))</f>
        <v/>
      </c>
      <c r="G19" s="91" t="str">
        <f t="shared" si="0"/>
        <v/>
      </c>
      <c r="H19" s="91" t="str">
        <f>IF(ISBLANK(C19),"",G19-SUMIF($C$1:C18,C19,$I$1:I18))</f>
        <v/>
      </c>
      <c r="J19" s="91" t="str">
        <f t="shared" si="1"/>
        <v/>
      </c>
      <c r="K19" s="94" t="str">
        <f>IF(ISBLANK(C19),"",SUMIF($C$1:C19,C19,$I$1:I19))</f>
        <v/>
      </c>
    </row>
    <row r="20" spans="1:23" x14ac:dyDescent="0.25">
      <c r="A20" s="130">
        <v>202425018</v>
      </c>
      <c r="D20" s="19" t="str">
        <f>IF(ISBLANK(C20),"",VLOOKUP(C20,ADMISSION!B:N,2,FALSE))</f>
        <v/>
      </c>
      <c r="E20" s="2" t="str">
        <f>IF(ISBLANK(C20),"",VLOOKUP(C20,ADMISSION!B:N,9,0))</f>
        <v/>
      </c>
      <c r="F20" s="2" t="str">
        <f>IF(ISBLANK(C20),"",VLOOKUP(C20,ADMISSION!B:N,10,))</f>
        <v/>
      </c>
      <c r="G20" s="91" t="str">
        <f t="shared" si="0"/>
        <v/>
      </c>
      <c r="H20" s="91" t="str">
        <f>IF(ISBLANK(C20),"",G20-SUMIF($C$1:C19,C20,$I$1:I19))</f>
        <v/>
      </c>
      <c r="J20" s="91" t="str">
        <f t="shared" si="1"/>
        <v/>
      </c>
      <c r="K20" s="94" t="str">
        <f>IF(ISBLANK(C20),"",SUMIF($C$1:C20,C20,$I$1:I20))</f>
        <v/>
      </c>
    </row>
    <row r="21" spans="1:23" x14ac:dyDescent="0.25">
      <c r="A21" s="130">
        <v>202425019</v>
      </c>
      <c r="D21" s="19" t="str">
        <f>IF(ISBLANK(C21),"",VLOOKUP(C21,ADMISSION!B:N,2,FALSE))</f>
        <v/>
      </c>
      <c r="E21" s="2" t="str">
        <f>IF(ISBLANK(C21),"",VLOOKUP(C21,ADMISSION!B:N,9,0))</f>
        <v/>
      </c>
      <c r="F21" s="2" t="str">
        <f>IF(ISBLANK(C21),"",VLOOKUP(C21,ADMISSION!B:N,10,))</f>
        <v/>
      </c>
      <c r="G21" s="91" t="str">
        <f t="shared" si="0"/>
        <v/>
      </c>
      <c r="H21" s="91" t="str">
        <f>IF(ISBLANK(C21),"",G21-SUMIF($C$1:C20,C21,$I$1:I20))</f>
        <v/>
      </c>
      <c r="J21" s="91" t="str">
        <f t="shared" si="1"/>
        <v/>
      </c>
      <c r="K21" s="94" t="str">
        <f>IF(ISBLANK(C21),"",SUMIF($C$1:C21,C21,$I$1:I21))</f>
        <v/>
      </c>
    </row>
    <row r="22" spans="1:23" x14ac:dyDescent="0.25">
      <c r="A22" s="130">
        <v>202425020</v>
      </c>
      <c r="D22" s="19" t="str">
        <f>IF(ISBLANK(C22),"",VLOOKUP(C22,ADMISSION!B:N,2,FALSE))</f>
        <v/>
      </c>
      <c r="E22" s="2" t="str">
        <f>IF(ISBLANK(C22),"",VLOOKUP(C22,ADMISSION!B:N,9,0))</f>
        <v/>
      </c>
      <c r="F22" s="2" t="str">
        <f>IF(ISBLANK(C22),"",VLOOKUP(C22,ADMISSION!B:N,10,))</f>
        <v/>
      </c>
      <c r="G22" s="91" t="str">
        <f t="shared" si="0"/>
        <v/>
      </c>
      <c r="H22" s="91" t="str">
        <f>IF(ISBLANK(C22),"",G22-SUMIF($C$1:C21,C22,$I$1:I21))</f>
        <v/>
      </c>
      <c r="J22" s="91" t="str">
        <f t="shared" si="1"/>
        <v/>
      </c>
      <c r="K22" s="94" t="str">
        <f>IF(ISBLANK(C22),"",SUMIF($C$1:C22,C22,$I$1:I22))</f>
        <v/>
      </c>
    </row>
    <row r="23" spans="1:23" x14ac:dyDescent="0.25">
      <c r="A23" s="130">
        <v>202425021</v>
      </c>
      <c r="D23" s="19" t="str">
        <f>IF(ISBLANK(C23),"",VLOOKUP(C23,ADMISSION!B:N,2,FALSE))</f>
        <v/>
      </c>
      <c r="E23" s="2" t="str">
        <f>IF(ISBLANK(C23),"",VLOOKUP(C23,ADMISSION!B:N,9,0))</f>
        <v/>
      </c>
      <c r="F23" s="2" t="str">
        <f>IF(ISBLANK(C23),"",VLOOKUP(C23,ADMISSION!B:N,10,))</f>
        <v/>
      </c>
      <c r="G23" s="91" t="str">
        <f t="shared" si="0"/>
        <v/>
      </c>
      <c r="H23" s="91" t="str">
        <f>IF(ISBLANK(C23),"",G23-SUMIF($C$1:C22,C23,$I$1:I22))</f>
        <v/>
      </c>
      <c r="J23" s="91" t="str">
        <f t="shared" si="1"/>
        <v/>
      </c>
      <c r="K23" s="94" t="str">
        <f>IF(ISBLANK(C23),"",SUMIF($C$1:C23,C23,$I$1:I23))</f>
        <v/>
      </c>
    </row>
    <row r="24" spans="1:23" x14ac:dyDescent="0.25">
      <c r="A24" s="130">
        <v>202425022</v>
      </c>
      <c r="D24" s="19" t="str">
        <f>IF(ISBLANK(C24),"",VLOOKUP(C24,ADMISSION!B:N,2,FALSE))</f>
        <v/>
      </c>
      <c r="E24" s="2" t="str">
        <f>IF(ISBLANK(C24),"",VLOOKUP(C24,ADMISSION!B:N,9,0))</f>
        <v/>
      </c>
      <c r="F24" s="2" t="str">
        <f>IF(ISBLANK(C24),"",VLOOKUP(C24,ADMISSION!B:N,10,))</f>
        <v/>
      </c>
      <c r="G24" s="91" t="str">
        <f t="shared" si="0"/>
        <v/>
      </c>
      <c r="H24" s="91" t="str">
        <f>IF(ISBLANK(C24),"",G24-SUMIF($C$1:C23,C24,$I$1:I23))</f>
        <v/>
      </c>
      <c r="J24" s="91" t="str">
        <f t="shared" si="1"/>
        <v/>
      </c>
      <c r="K24" s="94" t="str">
        <f>IF(ISBLANK(C24),"",SUMIF($C$1:C24,C24,$I$1:I24))</f>
        <v/>
      </c>
    </row>
    <row r="25" spans="1:23" x14ac:dyDescent="0.25">
      <c r="A25" s="130">
        <v>202425023</v>
      </c>
      <c r="D25" s="19" t="str">
        <f>IF(ISBLANK(C25),"",VLOOKUP(C25,ADMISSION!B:N,2,FALSE))</f>
        <v/>
      </c>
      <c r="E25" s="2" t="str">
        <f>IF(ISBLANK(C25),"",VLOOKUP(C25,ADMISSION!B:N,9,0))</f>
        <v/>
      </c>
      <c r="F25" s="2" t="str">
        <f>IF(ISBLANK(C25),"",VLOOKUP(C25,ADMISSION!B:N,10,))</f>
        <v/>
      </c>
      <c r="G25" s="91" t="str">
        <f t="shared" si="0"/>
        <v/>
      </c>
      <c r="H25" s="91" t="str">
        <f>IF(ISBLANK(C25),"",G25-SUMIF($C$1:C24,C25,$I$1:I24))</f>
        <v/>
      </c>
      <c r="J25" s="91" t="str">
        <f t="shared" si="1"/>
        <v/>
      </c>
      <c r="K25" s="94" t="str">
        <f>IF(ISBLANK(C25),"",SUMIF($C$1:C25,C25,$I$1:I25))</f>
        <v/>
      </c>
    </row>
    <row r="26" spans="1:23" x14ac:dyDescent="0.25">
      <c r="A26" s="130">
        <v>202425024</v>
      </c>
      <c r="D26" s="19" t="str">
        <f>IF(ISBLANK(C26),"",VLOOKUP(C26,ADMISSION!B:N,2,FALSE))</f>
        <v/>
      </c>
      <c r="E26" s="2" t="str">
        <f>IF(ISBLANK(C26),"",VLOOKUP(C26,ADMISSION!B:N,9,0))</f>
        <v/>
      </c>
      <c r="F26" s="2" t="str">
        <f>IF(ISBLANK(C26),"",VLOOKUP(C26,ADMISSION!B:N,10,))</f>
        <v/>
      </c>
      <c r="G26" s="91" t="str">
        <f t="shared" si="0"/>
        <v/>
      </c>
      <c r="H26" s="91" t="str">
        <f>IF(ISBLANK(C26),"",G26-SUMIF($C$1:C25,C26,$I$1:I25))</f>
        <v/>
      </c>
      <c r="J26" s="91" t="str">
        <f t="shared" si="1"/>
        <v/>
      </c>
      <c r="K26" s="94" t="str">
        <f>IF(ISBLANK(C26),"",SUMIF($C$1:C26,C26,$I$1:I26))</f>
        <v/>
      </c>
    </row>
    <row r="27" spans="1:23" x14ac:dyDescent="0.25">
      <c r="A27" s="130">
        <v>202425025</v>
      </c>
      <c r="D27" s="19" t="str">
        <f>IF(ISBLANK(C27),"",VLOOKUP(C27,ADMISSION!B:N,2,FALSE))</f>
        <v/>
      </c>
      <c r="E27" s="2" t="str">
        <f>IF(ISBLANK(C27),"",VLOOKUP(C27,ADMISSION!B:N,9,0))</f>
        <v/>
      </c>
      <c r="F27" s="2" t="str">
        <f>IF(ISBLANK(C27),"",VLOOKUP(C27,ADMISSION!B:N,10,))</f>
        <v/>
      </c>
      <c r="G27" s="91" t="str">
        <f t="shared" si="0"/>
        <v/>
      </c>
      <c r="H27" s="91" t="str">
        <f>IF(ISBLANK(C27),"",G27-SUMIF($C$1:C26,C27,$I$1:I26))</f>
        <v/>
      </c>
      <c r="J27" s="91" t="str">
        <f t="shared" si="1"/>
        <v/>
      </c>
      <c r="K27" s="94" t="str">
        <f>IF(ISBLANK(C27),"",SUMIF($C$1:C27,C27,$I$1:I27))</f>
        <v/>
      </c>
    </row>
    <row r="28" spans="1:23" x14ac:dyDescent="0.25">
      <c r="A28" s="130">
        <v>202425026</v>
      </c>
      <c r="D28" s="19" t="str">
        <f>IF(ISBLANK(C28),"",VLOOKUP(C28,ADMISSION!B:N,2,FALSE))</f>
        <v/>
      </c>
      <c r="E28" s="2" t="str">
        <f>IF(ISBLANK(C28),"",VLOOKUP(C28,ADMISSION!B:N,9,0))</f>
        <v/>
      </c>
      <c r="F28" s="2" t="str">
        <f>IF(ISBLANK(C28),"",VLOOKUP(C28,ADMISSION!B:N,10,))</f>
        <v/>
      </c>
      <c r="G28" s="91" t="str">
        <f t="shared" si="0"/>
        <v/>
      </c>
      <c r="H28" s="91" t="str">
        <f>IF(ISBLANK(C28),"",G28-SUMIF($C$1:C27,C28,$I$1:I27))</f>
        <v/>
      </c>
      <c r="J28" s="91" t="str">
        <f t="shared" si="1"/>
        <v/>
      </c>
      <c r="K28" s="94" t="str">
        <f>IF(ISBLANK(C28),"",SUMIF($C$1:C28,C28,$I$1:I28))</f>
        <v/>
      </c>
    </row>
    <row r="29" spans="1:23" x14ac:dyDescent="0.25">
      <c r="A29" s="130">
        <v>202425027</v>
      </c>
      <c r="D29" s="19" t="str">
        <f>IF(ISBLANK(C29),"",VLOOKUP(C29,ADMISSION!B:N,2,FALSE))</f>
        <v/>
      </c>
      <c r="E29" s="2" t="str">
        <f>IF(ISBLANK(C29),"",VLOOKUP(C29,ADMISSION!B:N,9,0))</f>
        <v/>
      </c>
      <c r="F29" s="2" t="str">
        <f>IF(ISBLANK(C29),"",VLOOKUP(C29,ADMISSION!B:N,10,))</f>
        <v/>
      </c>
      <c r="G29" s="91" t="str">
        <f t="shared" si="0"/>
        <v/>
      </c>
      <c r="H29" s="91" t="str">
        <f>IF(ISBLANK(C29),"",G29-SUMIF($C$1:C28,C29,$I$1:I28))</f>
        <v/>
      </c>
      <c r="J29" s="91" t="str">
        <f t="shared" si="1"/>
        <v/>
      </c>
      <c r="K29" s="94" t="str">
        <f>IF(ISBLANK(C29),"",SUMIF($C$1:C29,C29,$I$1:I29))</f>
        <v/>
      </c>
      <c r="M29" s="8" t="s">
        <v>29</v>
      </c>
      <c r="N29" s="8" t="s">
        <v>1</v>
      </c>
      <c r="O29" s="11" t="s">
        <v>8</v>
      </c>
      <c r="P29" s="8" t="s">
        <v>2</v>
      </c>
      <c r="Q29" s="9" t="s">
        <v>13</v>
      </c>
      <c r="R29" s="8" t="s">
        <v>14</v>
      </c>
      <c r="S29" s="8" t="s">
        <v>7</v>
      </c>
      <c r="T29" s="8" t="s">
        <v>10</v>
      </c>
      <c r="U29" s="8" t="s">
        <v>11</v>
      </c>
      <c r="V29" s="8" t="s">
        <v>12</v>
      </c>
      <c r="W29" s="8" t="s">
        <v>9</v>
      </c>
    </row>
    <row r="30" spans="1:23" x14ac:dyDescent="0.25">
      <c r="A30" s="130">
        <v>202425028</v>
      </c>
      <c r="D30" s="19" t="str">
        <f>IF(ISBLANK(C30),"",VLOOKUP(C30,ADMISSION!B:N,2,FALSE))</f>
        <v/>
      </c>
      <c r="E30" s="2" t="str">
        <f>IF(ISBLANK(C30),"",VLOOKUP(C30,ADMISSION!B:N,9,0))</f>
        <v/>
      </c>
      <c r="F30" s="2" t="str">
        <f>IF(ISBLANK(C30),"",VLOOKUP(C30,ADMISSION!B:N,10,))</f>
        <v/>
      </c>
      <c r="G30" s="91" t="str">
        <f t="shared" si="0"/>
        <v/>
      </c>
      <c r="H30" s="91" t="str">
        <f>IF(ISBLANK(C30),"",G30-SUMIF($C$1:C29,C30,$I$1:I29))</f>
        <v/>
      </c>
      <c r="J30" s="91" t="str">
        <f t="shared" si="1"/>
        <v/>
      </c>
      <c r="K30" s="94" t="str">
        <f>IF(ISBLANK(C30),"",SUMIF($C$1:C30,C30,$I$1:I30))</f>
        <v/>
      </c>
      <c r="M30" s="10" t="s">
        <v>0</v>
      </c>
      <c r="N30" t="e" cm="1" vm="1">
        <f t="array" ref="N30">_xlfn._xlws.FILTER(A:D,C:C=M30)</f>
        <v>#VALUE!</v>
      </c>
      <c r="Q30" t="e" cm="1" vm="1">
        <f t="array" ref="Q30">_xlfn._xlws.FILTER(E:K,C:C=M30)</f>
        <v>#VALUE!</v>
      </c>
    </row>
    <row r="31" spans="1:23" x14ac:dyDescent="0.25">
      <c r="A31" s="130">
        <v>202425029</v>
      </c>
      <c r="D31" s="19" t="str">
        <f>IF(ISBLANK(C31),"",VLOOKUP(C31,ADMISSION!B:N,2,FALSE))</f>
        <v/>
      </c>
      <c r="E31" s="2" t="str">
        <f>IF(ISBLANK(C31),"",VLOOKUP(C31,ADMISSION!B:N,9,0))</f>
        <v/>
      </c>
      <c r="F31" s="2" t="str">
        <f>IF(ISBLANK(C31),"",VLOOKUP(C31,ADMISSION!B:N,10,))</f>
        <v/>
      </c>
      <c r="G31" s="91" t="str">
        <f t="shared" si="0"/>
        <v/>
      </c>
      <c r="H31" s="91" t="str">
        <f>IF(ISBLANK(C31),"",G31-SUMIF($C$1:C30,C31,$I$1:I30))</f>
        <v/>
      </c>
      <c r="J31" s="91" t="str">
        <f t="shared" si="1"/>
        <v/>
      </c>
      <c r="K31" s="94" t="str">
        <f>IF(ISBLANK(C31),"",SUMIF($C$1:C31,C31,$I$1:I31))</f>
        <v/>
      </c>
    </row>
    <row r="32" spans="1:23" x14ac:dyDescent="0.25">
      <c r="A32" s="130">
        <v>202425030</v>
      </c>
      <c r="D32" s="19" t="str">
        <f>IF(ISBLANK(C32),"",VLOOKUP(C32,ADMISSION!B:N,2,FALSE))</f>
        <v/>
      </c>
      <c r="E32" s="2" t="str">
        <f>IF(ISBLANK(C32),"",VLOOKUP(C32,ADMISSION!B:N,9,0))</f>
        <v/>
      </c>
      <c r="F32" s="2" t="str">
        <f>IF(ISBLANK(C32),"",VLOOKUP(C32,ADMISSION!B:N,10,))</f>
        <v/>
      </c>
      <c r="G32" s="91" t="str">
        <f t="shared" si="0"/>
        <v/>
      </c>
      <c r="H32" s="91" t="str">
        <f>IF(ISBLANK(C32),"",G32-SUMIF($C$1:C31,C32,$I$1:I31))</f>
        <v/>
      </c>
      <c r="J32" s="91" t="str">
        <f t="shared" si="1"/>
        <v/>
      </c>
      <c r="K32" s="94" t="str">
        <f>IF(ISBLANK(C32),"",SUMIF($C$1:C32,C32,$I$1:I32))</f>
        <v/>
      </c>
    </row>
    <row r="33" spans="1:18" x14ac:dyDescent="0.25">
      <c r="A33" s="130">
        <v>202425031</v>
      </c>
      <c r="D33" s="19" t="str">
        <f>IF(ISBLANK(C33),"",VLOOKUP(C33,ADMISSION!B:N,2,FALSE))</f>
        <v/>
      </c>
      <c r="E33" s="2" t="str">
        <f>IF(ISBLANK(C33),"",VLOOKUP(C33,ADMISSION!B:N,9,0))</f>
        <v/>
      </c>
      <c r="F33" s="2" t="str">
        <f>IF(ISBLANK(C33),"",VLOOKUP(C33,ADMISSION!B:N,10,))</f>
        <v/>
      </c>
      <c r="G33" s="91" t="str">
        <f t="shared" si="0"/>
        <v/>
      </c>
      <c r="H33" s="91" t="str">
        <f>IF(ISBLANK(C33),"",G33-SUMIF($C$1:C32,C33,$I$1:I32))</f>
        <v/>
      </c>
      <c r="J33" s="91" t="str">
        <f t="shared" si="1"/>
        <v/>
      </c>
      <c r="K33" s="94" t="str">
        <f>IF(ISBLANK(C33),"",SUMIF($C$1:C33,C33,$I$1:I33))</f>
        <v/>
      </c>
    </row>
    <row r="34" spans="1:18" x14ac:dyDescent="0.25">
      <c r="A34" s="130">
        <v>202425032</v>
      </c>
      <c r="D34" s="19" t="str">
        <f>IF(ISBLANK(C34),"",VLOOKUP(C34,ADMISSION!B:N,2,FALSE))</f>
        <v/>
      </c>
      <c r="E34" s="2" t="str">
        <f>IF(ISBLANK(C34),"",VLOOKUP(C34,ADMISSION!B:N,9,0))</f>
        <v/>
      </c>
      <c r="F34" s="2" t="str">
        <f>IF(ISBLANK(C34),"",VLOOKUP(C34,ADMISSION!B:N,10,))</f>
        <v/>
      </c>
      <c r="G34" s="91" t="str">
        <f t="shared" si="0"/>
        <v/>
      </c>
      <c r="H34" s="91" t="str">
        <f>IF(ISBLANK(C34),"",G34-SUMIF($C$1:C33,C34,$I$1:I33))</f>
        <v/>
      </c>
      <c r="J34" s="91" t="str">
        <f t="shared" si="1"/>
        <v/>
      </c>
      <c r="K34" s="94" t="str">
        <f>IF(ISBLANK(C34),"",SUMIF($C$1:C34,C34,$I$1:I34))</f>
        <v/>
      </c>
    </row>
    <row r="35" spans="1:18" x14ac:dyDescent="0.25">
      <c r="A35" s="130">
        <v>202425033</v>
      </c>
      <c r="D35" s="19" t="str">
        <f>IF(ISBLANK(C35),"",VLOOKUP(C35,ADMISSION!B:N,2,FALSE))</f>
        <v/>
      </c>
      <c r="E35" s="2" t="str">
        <f>IF(ISBLANK(C35),"",VLOOKUP(C35,ADMISSION!B:N,9,0))</f>
        <v/>
      </c>
      <c r="F35" s="2" t="str">
        <f>IF(ISBLANK(C35),"",VLOOKUP(C35,ADMISSION!B:N,10,))</f>
        <v/>
      </c>
      <c r="G35" s="91" t="str">
        <f t="shared" si="0"/>
        <v/>
      </c>
      <c r="H35" s="91" t="str">
        <f>IF(ISBLANK(C35),"",G35-SUMIF($C$1:C34,C35,$I$1:I34))</f>
        <v/>
      </c>
      <c r="J35" s="91" t="str">
        <f t="shared" si="1"/>
        <v/>
      </c>
      <c r="K35" s="94" t="str">
        <f>IF(ISBLANK(C35),"",SUMIF($C$1:C35,C35,$I$1:I35))</f>
        <v/>
      </c>
    </row>
    <row r="36" spans="1:18" x14ac:dyDescent="0.25">
      <c r="A36" s="130">
        <v>202425034</v>
      </c>
      <c r="D36" s="19" t="str">
        <f>IF(ISBLANK(C36),"",VLOOKUP(C36,ADMISSION!B:N,2,FALSE))</f>
        <v/>
      </c>
      <c r="E36" s="2" t="str">
        <f>IF(ISBLANK(C36),"",VLOOKUP(C36,ADMISSION!B:N,9,0))</f>
        <v/>
      </c>
      <c r="F36" s="2" t="str">
        <f>IF(ISBLANK(C36),"",VLOOKUP(C36,ADMISSION!B:N,10,))</f>
        <v/>
      </c>
      <c r="G36" s="91" t="str">
        <f t="shared" si="0"/>
        <v/>
      </c>
      <c r="H36" s="91" t="str">
        <f>IF(ISBLANK(C36),"",G36-SUMIF($C$1:C35,C36,$I$1:I35))</f>
        <v/>
      </c>
      <c r="J36" s="91" t="str">
        <f t="shared" si="1"/>
        <v/>
      </c>
      <c r="K36" s="94" t="str">
        <f>IF(ISBLANK(C36),"",SUMIF($C$1:C36,C36,$I$1:I36))</f>
        <v/>
      </c>
    </row>
    <row r="37" spans="1:18" x14ac:dyDescent="0.25">
      <c r="A37" s="130">
        <v>202425035</v>
      </c>
      <c r="D37" s="19" t="str">
        <f>IF(ISBLANK(C37),"",VLOOKUP(C37,ADMISSION!B:N,2,FALSE))</f>
        <v/>
      </c>
      <c r="E37" s="2" t="str">
        <f>IF(ISBLANK(C37),"",VLOOKUP(C37,ADMISSION!B:N,9,0))</f>
        <v/>
      </c>
      <c r="F37" s="2" t="str">
        <f>IF(ISBLANK(C37),"",VLOOKUP(C37,ADMISSION!B:N,10,))</f>
        <v/>
      </c>
      <c r="G37" s="91" t="str">
        <f t="shared" si="0"/>
        <v/>
      </c>
      <c r="H37" s="91" t="str">
        <f>IF(ISBLANK(C37),"",G37-SUMIF($C$1:C36,C37,$I$1:I36))</f>
        <v/>
      </c>
      <c r="J37" s="91" t="str">
        <f t="shared" si="1"/>
        <v/>
      </c>
      <c r="K37" s="94" t="str">
        <f>IF(ISBLANK(C37),"",SUMIF($C$1:C37,C37,$I$1:I37))</f>
        <v/>
      </c>
      <c r="P37" s="1"/>
      <c r="R37" s="2"/>
    </row>
    <row r="38" spans="1:18" x14ac:dyDescent="0.25">
      <c r="A38" s="130">
        <v>202425036</v>
      </c>
      <c r="D38" s="19" t="str">
        <f>IF(ISBLANK(C38),"",VLOOKUP(C38,ADMISSION!B:N,2,FALSE))</f>
        <v/>
      </c>
      <c r="E38" s="2" t="str">
        <f>IF(ISBLANK(C38),"",VLOOKUP(C38,ADMISSION!B:N,9,0))</f>
        <v/>
      </c>
      <c r="F38" s="2" t="str">
        <f>IF(ISBLANK(C38),"",VLOOKUP(C38,ADMISSION!B:N,10,))</f>
        <v/>
      </c>
      <c r="G38" s="91" t="str">
        <f t="shared" si="0"/>
        <v/>
      </c>
      <c r="H38" s="91" t="str">
        <f>IF(ISBLANK(C38),"",G38-SUMIF($C$1:C37,C38,$I$1:I37))</f>
        <v/>
      </c>
      <c r="J38" s="91" t="str">
        <f t="shared" si="1"/>
        <v/>
      </c>
      <c r="K38" s="94" t="str">
        <f>IF(ISBLANK(C38),"",SUMIF($C$1:C38,C38,$I$1:I38))</f>
        <v/>
      </c>
    </row>
    <row r="39" spans="1:18" x14ac:dyDescent="0.25">
      <c r="A39" s="130">
        <v>202425037</v>
      </c>
      <c r="D39" s="19" t="str">
        <f>IF(ISBLANK(C39),"",VLOOKUP(C39,ADMISSION!B:N,2,FALSE))</f>
        <v/>
      </c>
      <c r="E39" s="2" t="str">
        <f>IF(ISBLANK(C39),"",VLOOKUP(C39,ADMISSION!B:N,9,0))</f>
        <v/>
      </c>
      <c r="F39" s="2" t="str">
        <f>IF(ISBLANK(C39),"",VLOOKUP(C39,ADMISSION!B:N,10,))</f>
        <v/>
      </c>
      <c r="G39" s="91" t="str">
        <f t="shared" si="0"/>
        <v/>
      </c>
      <c r="H39" s="91" t="str">
        <f>IF(ISBLANK(C39),"",G39-SUMIF($C$1:C38,C39,$I$1:I38))</f>
        <v/>
      </c>
      <c r="J39" s="91" t="str">
        <f t="shared" si="1"/>
        <v/>
      </c>
      <c r="K39" s="94" t="str">
        <f>IF(ISBLANK(C39),"",SUMIF($C$1:C39,C39,$I$1:I39))</f>
        <v/>
      </c>
    </row>
    <row r="40" spans="1:18" x14ac:dyDescent="0.25">
      <c r="A40" s="130">
        <v>202425038</v>
      </c>
      <c r="D40" s="19" t="str">
        <f>IF(ISBLANK(C40),"",VLOOKUP(C40,ADMISSION!B:N,2,FALSE))</f>
        <v/>
      </c>
      <c r="E40" s="2" t="str">
        <f>IF(ISBLANK(C40),"",VLOOKUP(C40,ADMISSION!B:N,9,0))</f>
        <v/>
      </c>
      <c r="F40" s="2" t="str">
        <f>IF(ISBLANK(C40),"",VLOOKUP(C40,ADMISSION!B:N,10,))</f>
        <v/>
      </c>
      <c r="G40" s="91" t="str">
        <f t="shared" si="0"/>
        <v/>
      </c>
      <c r="H40" s="91" t="str">
        <f>IF(ISBLANK(C40),"",G40-SUMIF($C$1:C39,C40,$I$1:I39))</f>
        <v/>
      </c>
      <c r="J40" s="91" t="str">
        <f t="shared" si="1"/>
        <v/>
      </c>
      <c r="K40" s="94" t="str">
        <f>IF(ISBLANK(C40),"",SUMIF($C$1:C40,C40,$I$1:I40))</f>
        <v/>
      </c>
    </row>
    <row r="41" spans="1:18" x14ac:dyDescent="0.25">
      <c r="A41" s="130">
        <v>202425039</v>
      </c>
      <c r="D41" s="19" t="str">
        <f>IF(ISBLANK(C41),"",VLOOKUP(C41,ADMISSION!B:N,2,FALSE))</f>
        <v/>
      </c>
      <c r="E41" s="2" t="str">
        <f>IF(ISBLANK(C41),"",VLOOKUP(C41,ADMISSION!B:N,9,0))</f>
        <v/>
      </c>
      <c r="F41" s="2" t="str">
        <f>IF(ISBLANK(C41),"",VLOOKUP(C41,ADMISSION!B:N,10,))</f>
        <v/>
      </c>
      <c r="G41" s="91" t="str">
        <f t="shared" si="0"/>
        <v/>
      </c>
      <c r="H41" s="91" t="str">
        <f>IF(ISBLANK(C41),"",G41-SUMIF($C$1:C40,C41,$I$1:I40))</f>
        <v/>
      </c>
      <c r="J41" s="91" t="str">
        <f t="shared" si="1"/>
        <v/>
      </c>
      <c r="K41" s="94" t="str">
        <f>IF(ISBLANK(C41),"",SUMIF($C$1:C41,C41,$I$1:I41))</f>
        <v/>
      </c>
    </row>
    <row r="42" spans="1:18" x14ac:dyDescent="0.25">
      <c r="A42" s="130">
        <v>202425040</v>
      </c>
      <c r="D42" s="19" t="str">
        <f>IF(ISBLANK(C42),"",VLOOKUP(C42,ADMISSION!B:N,2,FALSE))</f>
        <v/>
      </c>
      <c r="E42" s="2" t="str">
        <f>IF(ISBLANK(C42),"",VLOOKUP(C42,ADMISSION!B:N,9,0))</f>
        <v/>
      </c>
      <c r="F42" s="2" t="str">
        <f>IF(ISBLANK(C42),"",VLOOKUP(C42,ADMISSION!B:N,10,))</f>
        <v/>
      </c>
      <c r="G42" s="91" t="str">
        <f t="shared" si="0"/>
        <v/>
      </c>
      <c r="H42" s="91" t="str">
        <f>IF(ISBLANK(C42),"",G42-SUMIF($C$1:C41,C42,$I$1:I41))</f>
        <v/>
      </c>
      <c r="J42" s="91" t="str">
        <f t="shared" si="1"/>
        <v/>
      </c>
      <c r="K42" s="94" t="str">
        <f>IF(ISBLANK(C42),"",SUMIF($C$1:C42,C42,$I$1:I42))</f>
        <v/>
      </c>
    </row>
    <row r="43" spans="1:18" x14ac:dyDescent="0.25">
      <c r="A43" s="130">
        <v>202425041</v>
      </c>
      <c r="D43" s="19" t="str">
        <f>IF(ISBLANK(C43),"",VLOOKUP(C43,ADMISSION!B:N,2,FALSE))</f>
        <v/>
      </c>
      <c r="E43" s="2" t="str">
        <f>IF(ISBLANK(C43),"",VLOOKUP(C43,ADMISSION!B:N,9,0))</f>
        <v/>
      </c>
      <c r="F43" s="2" t="str">
        <f>IF(ISBLANK(C43),"",VLOOKUP(C43,ADMISSION!B:N,10,))</f>
        <v/>
      </c>
      <c r="G43" s="91" t="str">
        <f t="shared" si="0"/>
        <v/>
      </c>
      <c r="H43" s="91" t="str">
        <f>IF(ISBLANK(C43),"",G43-SUMIF($C$1:C42,C43,$I$1:I42))</f>
        <v/>
      </c>
      <c r="J43" s="91" t="str">
        <f t="shared" si="1"/>
        <v/>
      </c>
      <c r="K43" s="94" t="str">
        <f>IF(ISBLANK(C43),"",SUMIF($C$1:C43,C43,$I$1:I43))</f>
        <v/>
      </c>
    </row>
    <row r="44" spans="1:18" x14ac:dyDescent="0.25">
      <c r="A44" s="130">
        <v>202425042</v>
      </c>
      <c r="D44" s="19" t="str">
        <f>IF(ISBLANK(C44),"",VLOOKUP(C44,ADMISSION!B:N,2,FALSE))</f>
        <v/>
      </c>
      <c r="E44" s="2" t="str">
        <f>IF(ISBLANK(C44),"",VLOOKUP(C44,ADMISSION!B:N,9,0))</f>
        <v/>
      </c>
      <c r="F44" s="2" t="str">
        <f>IF(ISBLANK(C44),"",VLOOKUP(C44,ADMISSION!B:N,10,))</f>
        <v/>
      </c>
      <c r="G44" s="91" t="str">
        <f t="shared" si="0"/>
        <v/>
      </c>
      <c r="H44" s="91" t="str">
        <f>IF(ISBLANK(C44),"",G44-SUMIF($C$1:C43,C44,$I$1:I43))</f>
        <v/>
      </c>
      <c r="J44" s="91" t="str">
        <f t="shared" si="1"/>
        <v/>
      </c>
      <c r="K44" s="94" t="str">
        <f>IF(ISBLANK(C44),"",SUMIF($C$1:C44,C44,$I$1:I44))</f>
        <v/>
      </c>
    </row>
    <row r="45" spans="1:18" x14ac:dyDescent="0.25">
      <c r="A45" s="130">
        <v>202425043</v>
      </c>
      <c r="D45" s="19" t="str">
        <f>IF(ISBLANK(C45),"",VLOOKUP(C45,ADMISSION!B:N,2,FALSE))</f>
        <v/>
      </c>
      <c r="E45" s="2" t="str">
        <f>IF(ISBLANK(C45),"",VLOOKUP(C45,ADMISSION!B:N,9,0))</f>
        <v/>
      </c>
      <c r="F45" s="2" t="str">
        <f>IF(ISBLANK(C45),"",VLOOKUP(C45,ADMISSION!B:N,10,))</f>
        <v/>
      </c>
      <c r="G45" s="91" t="str">
        <f t="shared" si="0"/>
        <v/>
      </c>
      <c r="H45" s="91" t="str">
        <f>IF(ISBLANK(C45),"",G45-SUMIF($C$1:C44,C45,$I$1:I44))</f>
        <v/>
      </c>
      <c r="J45" s="91" t="str">
        <f t="shared" si="1"/>
        <v/>
      </c>
      <c r="K45" s="94" t="str">
        <f>IF(ISBLANK(C45),"",SUMIF($C$1:C45,C45,$I$1:I45))</f>
        <v/>
      </c>
    </row>
    <row r="46" spans="1:18" x14ac:dyDescent="0.25">
      <c r="A46" s="130">
        <v>202425044</v>
      </c>
      <c r="D46" s="19" t="str">
        <f>IF(ISBLANK(C46),"",VLOOKUP(C46,ADMISSION!B:N,2,FALSE))</f>
        <v/>
      </c>
      <c r="E46" s="2" t="str">
        <f>IF(ISBLANK(C46),"",VLOOKUP(C46,ADMISSION!B:N,9,0))</f>
        <v/>
      </c>
      <c r="F46" s="2" t="str">
        <f>IF(ISBLANK(C46),"",VLOOKUP(C46,ADMISSION!B:N,10,))</f>
        <v/>
      </c>
      <c r="G46" s="91" t="str">
        <f t="shared" si="0"/>
        <v/>
      </c>
      <c r="H46" s="91" t="str">
        <f>IF(ISBLANK(C46),"",G46-SUMIF($C$1:C45,C46,$I$1:I45))</f>
        <v/>
      </c>
      <c r="J46" s="91" t="str">
        <f t="shared" si="1"/>
        <v/>
      </c>
      <c r="K46" s="94" t="str">
        <f>IF(ISBLANK(C46),"",SUMIF($C$1:C46,C46,$I$1:I46))</f>
        <v/>
      </c>
    </row>
    <row r="47" spans="1:18" x14ac:dyDescent="0.25">
      <c r="A47" s="130">
        <v>202425045</v>
      </c>
      <c r="D47" s="19" t="str">
        <f>IF(ISBLANK(C47),"",VLOOKUP(C47,ADMISSION!B:N,2,FALSE))</f>
        <v/>
      </c>
      <c r="E47" s="2" t="str">
        <f>IF(ISBLANK(C47),"",VLOOKUP(C47,ADMISSION!B:N,9,0))</f>
        <v/>
      </c>
      <c r="F47" s="2" t="str">
        <f>IF(ISBLANK(C47),"",VLOOKUP(C47,ADMISSION!B:N,10,))</f>
        <v/>
      </c>
      <c r="G47" s="91" t="str">
        <f t="shared" si="0"/>
        <v/>
      </c>
      <c r="H47" s="91" t="str">
        <f>IF(ISBLANK(C47),"",G47-SUMIF($C$1:C46,C47,$I$1:I46))</f>
        <v/>
      </c>
      <c r="J47" s="91" t="str">
        <f t="shared" si="1"/>
        <v/>
      </c>
      <c r="K47" s="94" t="str">
        <f>IF(ISBLANK(C47),"",SUMIF($C$1:C47,C47,$I$1:I47))</f>
        <v/>
      </c>
    </row>
    <row r="48" spans="1:18" x14ac:dyDescent="0.25">
      <c r="A48" s="130">
        <v>202425046</v>
      </c>
      <c r="D48" s="19" t="str">
        <f>IF(ISBLANK(C48),"",VLOOKUP(C48,ADMISSION!B:N,2,FALSE))</f>
        <v/>
      </c>
      <c r="E48" s="2" t="str">
        <f>IF(ISBLANK(C48),"",VLOOKUP(C48,ADMISSION!B:N,9,0))</f>
        <v/>
      </c>
      <c r="F48" s="2" t="str">
        <f>IF(ISBLANK(C48),"",VLOOKUP(C48,ADMISSION!B:N,10,))</f>
        <v/>
      </c>
      <c r="G48" s="91" t="str">
        <f t="shared" si="0"/>
        <v/>
      </c>
      <c r="H48" s="91" t="str">
        <f>IF(ISBLANK(C48),"",G48-SUMIF($C$1:C47,C48,$I$1:I47))</f>
        <v/>
      </c>
      <c r="J48" s="91" t="str">
        <f t="shared" si="1"/>
        <v/>
      </c>
      <c r="K48" s="94" t="str">
        <f>IF(ISBLANK(C48),"",SUMIF($C$1:C48,C48,$I$1:I48))</f>
        <v/>
      </c>
    </row>
    <row r="49" spans="1:11" x14ac:dyDescent="0.25">
      <c r="A49" s="130">
        <v>202425047</v>
      </c>
      <c r="D49" s="19" t="str">
        <f>IF(ISBLANK(C49),"",VLOOKUP(C49,ADMISSION!B:N,2,FALSE))</f>
        <v/>
      </c>
      <c r="E49" s="2" t="str">
        <f>IF(ISBLANK(C49),"",VLOOKUP(C49,ADMISSION!B:N,9,0))</f>
        <v/>
      </c>
      <c r="F49" s="2" t="str">
        <f>IF(ISBLANK(C49),"",VLOOKUP(C49,ADMISSION!B:N,10,))</f>
        <v/>
      </c>
      <c r="G49" s="91" t="str">
        <f t="shared" si="0"/>
        <v/>
      </c>
      <c r="H49" s="91" t="str">
        <f>IF(ISBLANK(C49),"",G49-SUMIF($C$1:C48,C49,$I$1:I48))</f>
        <v/>
      </c>
      <c r="J49" s="91" t="str">
        <f t="shared" si="1"/>
        <v/>
      </c>
      <c r="K49" s="94" t="str">
        <f>IF(ISBLANK(C49),"",SUMIF($C$1:C49,C49,$I$1:I49))</f>
        <v/>
      </c>
    </row>
    <row r="50" spans="1:11" x14ac:dyDescent="0.25">
      <c r="A50" s="130">
        <v>202425048</v>
      </c>
      <c r="D50" s="19" t="str">
        <f>IF(ISBLANK(C50),"",VLOOKUP(C50,ADMISSION!B:N,2,FALSE))</f>
        <v/>
      </c>
      <c r="E50" s="2" t="str">
        <f>IF(ISBLANK(C50),"",VLOOKUP(C50,ADMISSION!B:N,9,0))</f>
        <v/>
      </c>
      <c r="F50" s="2" t="str">
        <f>IF(ISBLANK(C50),"",VLOOKUP(C50,ADMISSION!B:N,10,))</f>
        <v/>
      </c>
      <c r="G50" s="91" t="str">
        <f t="shared" si="0"/>
        <v/>
      </c>
      <c r="H50" s="91" t="str">
        <f>IF(ISBLANK(C50),"",G50-SUMIF($C$1:C49,C50,$I$1:I49))</f>
        <v/>
      </c>
      <c r="J50" s="91" t="str">
        <f t="shared" si="1"/>
        <v/>
      </c>
      <c r="K50" s="94" t="str">
        <f>IF(ISBLANK(C50),"",SUMIF($C$1:C50,C50,$I$1:I50))</f>
        <v/>
      </c>
    </row>
    <row r="51" spans="1:11" x14ac:dyDescent="0.25">
      <c r="A51" s="130">
        <v>202425049</v>
      </c>
      <c r="D51" s="19" t="str">
        <f>IF(ISBLANK(C51),"",VLOOKUP(C51,ADMISSION!B:N,2,FALSE))</f>
        <v/>
      </c>
      <c r="E51" s="2" t="str">
        <f>IF(ISBLANK(C51),"",VLOOKUP(C51,ADMISSION!B:N,9,0))</f>
        <v/>
      </c>
      <c r="F51" s="2" t="str">
        <f>IF(ISBLANK(C51),"",VLOOKUP(C51,ADMISSION!B:N,10,))</f>
        <v/>
      </c>
      <c r="G51" s="91" t="str">
        <f t="shared" si="0"/>
        <v/>
      </c>
      <c r="H51" s="91" t="str">
        <f>IF(ISBLANK(C51),"",G51-SUMIF($C$1:C50,C51,$I$1:I50))</f>
        <v/>
      </c>
      <c r="J51" s="91" t="str">
        <f t="shared" si="1"/>
        <v/>
      </c>
      <c r="K51" s="94" t="str">
        <f>IF(ISBLANK(C51),"",SUMIF($C$1:C51,C51,$I$1:I51))</f>
        <v/>
      </c>
    </row>
    <row r="52" spans="1:11" x14ac:dyDescent="0.25">
      <c r="A52" s="130">
        <v>202425050</v>
      </c>
      <c r="D52" s="19" t="str">
        <f>IF(ISBLANK(C52),"",VLOOKUP(C52,ADMISSION!B:N,2,FALSE))</f>
        <v/>
      </c>
      <c r="E52" s="2" t="str">
        <f>IF(ISBLANK(C52),"",VLOOKUP(C52,ADMISSION!B:N,9,0))</f>
        <v/>
      </c>
      <c r="F52" s="2" t="str">
        <f>IF(ISBLANK(C52),"",VLOOKUP(C52,ADMISSION!B:N,10,))</f>
        <v/>
      </c>
      <c r="G52" s="91" t="str">
        <f t="shared" si="0"/>
        <v/>
      </c>
      <c r="H52" s="91" t="str">
        <f>IF(ISBLANK(C52),"",G52-SUMIF($C$1:C51,C52,$I$1:I51))</f>
        <v/>
      </c>
      <c r="J52" s="91" t="str">
        <f t="shared" si="1"/>
        <v/>
      </c>
      <c r="K52" s="94" t="str">
        <f>IF(ISBLANK(C52),"",SUMIF($C$1:C52,C52,$I$1:I52))</f>
        <v/>
      </c>
    </row>
    <row r="53" spans="1:11" x14ac:dyDescent="0.25">
      <c r="A53" s="130">
        <v>202425051</v>
      </c>
      <c r="D53" s="19" t="str">
        <f>IF(ISBLANK(C53),"",VLOOKUP(C53,ADMISSION!B:N,2,FALSE))</f>
        <v/>
      </c>
      <c r="E53" s="2" t="str">
        <f>IF(ISBLANK(C53),"",VLOOKUP(C53,ADMISSION!B:N,9,0))</f>
        <v/>
      </c>
      <c r="F53" s="2" t="str">
        <f>IF(ISBLANK(C53),"",VLOOKUP(C53,ADMISSION!B:N,10,))</f>
        <v/>
      </c>
      <c r="G53" s="91" t="str">
        <f t="shared" si="0"/>
        <v/>
      </c>
      <c r="H53" s="91" t="str">
        <f>IF(ISBLANK(C53),"",G53-SUMIF($C$1:C52,C53,$I$1:I52))</f>
        <v/>
      </c>
      <c r="J53" s="91" t="str">
        <f t="shared" si="1"/>
        <v/>
      </c>
      <c r="K53" s="94" t="str">
        <f>IF(ISBLANK(C53),"",SUMIF($C$1:C53,C53,$I$1:I53))</f>
        <v/>
      </c>
    </row>
    <row r="54" spans="1:11" x14ac:dyDescent="0.25">
      <c r="A54" s="130">
        <v>202425052</v>
      </c>
      <c r="D54" s="19" t="str">
        <f>IF(ISBLANK(C54),"",VLOOKUP(C54,ADMISSION!B:N,2,FALSE))</f>
        <v/>
      </c>
      <c r="E54" s="2" t="str">
        <f>IF(ISBLANK(C54),"",VLOOKUP(C54,ADMISSION!B:N,9,0))</f>
        <v/>
      </c>
      <c r="F54" s="2" t="str">
        <f>IF(ISBLANK(C54),"",VLOOKUP(C54,ADMISSION!B:N,10,))</f>
        <v/>
      </c>
      <c r="G54" s="91" t="str">
        <f t="shared" si="0"/>
        <v/>
      </c>
      <c r="H54" s="91" t="str">
        <f>IF(ISBLANK(C54),"",G54-SUMIF($C$1:C53,C54,$I$1:I53))</f>
        <v/>
      </c>
      <c r="J54" s="91" t="str">
        <f t="shared" si="1"/>
        <v/>
      </c>
      <c r="K54" s="94" t="str">
        <f>IF(ISBLANK(C54),"",SUMIF($C$1:C54,C54,$I$1:I54))</f>
        <v/>
      </c>
    </row>
    <row r="55" spans="1:11" x14ac:dyDescent="0.25">
      <c r="A55" s="130">
        <v>202425053</v>
      </c>
      <c r="D55" s="19" t="str">
        <f>IF(ISBLANK(C55),"",VLOOKUP(C55,ADMISSION!B:N,2,FALSE))</f>
        <v/>
      </c>
      <c r="E55" s="2" t="str">
        <f>IF(ISBLANK(C55),"",VLOOKUP(C55,ADMISSION!B:N,9,0))</f>
        <v/>
      </c>
      <c r="F55" s="2" t="str">
        <f>IF(ISBLANK(C55),"",VLOOKUP(C55,ADMISSION!B:N,10,))</f>
        <v/>
      </c>
      <c r="G55" s="91" t="str">
        <f t="shared" si="0"/>
        <v/>
      </c>
      <c r="H55" s="91" t="str">
        <f>IF(ISBLANK(C55),"",G55-SUMIF($C$1:C54,C55,$I$1:I54))</f>
        <v/>
      </c>
      <c r="J55" s="91" t="str">
        <f t="shared" si="1"/>
        <v/>
      </c>
      <c r="K55" s="94" t="str">
        <f>IF(ISBLANK(C55),"",SUMIF($C$1:C55,C55,$I$1:I55))</f>
        <v/>
      </c>
    </row>
    <row r="56" spans="1:11" x14ac:dyDescent="0.25">
      <c r="A56" s="130">
        <v>202425054</v>
      </c>
      <c r="D56" s="19" t="str">
        <f>IF(ISBLANK(C56),"",VLOOKUP(C56,ADMISSION!B:N,2,FALSE))</f>
        <v/>
      </c>
      <c r="E56" s="2" t="str">
        <f>IF(ISBLANK(C56),"",VLOOKUP(C56,ADMISSION!B:N,9,0))</f>
        <v/>
      </c>
      <c r="F56" s="2" t="str">
        <f>IF(ISBLANK(C56),"",VLOOKUP(C56,ADMISSION!B:N,10,))</f>
        <v/>
      </c>
      <c r="G56" s="91" t="str">
        <f t="shared" si="0"/>
        <v/>
      </c>
      <c r="H56" s="91" t="str">
        <f>IF(ISBLANK(C56),"",G56-SUMIF($C$1:C55,C56,$I$1:I55))</f>
        <v/>
      </c>
      <c r="J56" s="91" t="str">
        <f t="shared" si="1"/>
        <v/>
      </c>
      <c r="K56" s="94" t="str">
        <f>IF(ISBLANK(C56),"",SUMIF($C$1:C56,C56,$I$1:I56))</f>
        <v/>
      </c>
    </row>
    <row r="57" spans="1:11" x14ac:dyDescent="0.25">
      <c r="A57" s="130">
        <v>202425055</v>
      </c>
      <c r="D57" s="19" t="str">
        <f>IF(ISBLANK(C57),"",VLOOKUP(C57,ADMISSION!B:N,2,FALSE))</f>
        <v/>
      </c>
      <c r="E57" s="2" t="str">
        <f>IF(ISBLANK(C57),"",VLOOKUP(C57,ADMISSION!B:N,9,0))</f>
        <v/>
      </c>
      <c r="F57" s="2" t="str">
        <f>IF(ISBLANK(C57),"",VLOOKUP(C57,ADMISSION!B:N,10,))</f>
        <v/>
      </c>
      <c r="G57" s="91" t="str">
        <f t="shared" si="0"/>
        <v/>
      </c>
      <c r="H57" s="91" t="str">
        <f>IF(ISBLANK(C57),"",G57-SUMIF($C$1:C56,C57,$I$1:I56))</f>
        <v/>
      </c>
      <c r="J57" s="91" t="str">
        <f t="shared" si="1"/>
        <v/>
      </c>
      <c r="K57" s="94" t="str">
        <f>IF(ISBLANK(C57),"",SUMIF($C$1:C57,C57,$I$1:I57))</f>
        <v/>
      </c>
    </row>
    <row r="58" spans="1:11" x14ac:dyDescent="0.25">
      <c r="A58" s="130">
        <v>202425056</v>
      </c>
      <c r="D58" s="19" t="str">
        <f>IF(ISBLANK(C58),"",VLOOKUP(C58,ADMISSION!B:N,2,FALSE))</f>
        <v/>
      </c>
      <c r="E58" s="2" t="str">
        <f>IF(ISBLANK(C58),"",VLOOKUP(C58,ADMISSION!B:N,9,0))</f>
        <v/>
      </c>
      <c r="F58" s="2" t="str">
        <f>IF(ISBLANK(C58),"",VLOOKUP(C58,ADMISSION!B:N,10,))</f>
        <v/>
      </c>
      <c r="G58" s="91" t="str">
        <f t="shared" si="0"/>
        <v/>
      </c>
      <c r="H58" s="91" t="str">
        <f>IF(ISBLANK(C58),"",G58-SUMIF($C$1:C57,C58,$I$1:I57))</f>
        <v/>
      </c>
      <c r="J58" s="91" t="str">
        <f t="shared" si="1"/>
        <v/>
      </c>
      <c r="K58" s="94" t="str">
        <f>IF(ISBLANK(C58),"",SUMIF($C$1:C58,C58,$I$1:I58))</f>
        <v/>
      </c>
    </row>
    <row r="59" spans="1:11" x14ac:dyDescent="0.25">
      <c r="A59" s="130">
        <v>202425057</v>
      </c>
      <c r="D59" s="19" t="str">
        <f>IF(ISBLANK(C59),"",VLOOKUP(C59,ADMISSION!B:N,2,FALSE))</f>
        <v/>
      </c>
      <c r="E59" s="2" t="str">
        <f>IF(ISBLANK(C59),"",VLOOKUP(C59,ADMISSION!B:N,9,0))</f>
        <v/>
      </c>
      <c r="F59" s="2" t="str">
        <f>IF(ISBLANK(C59),"",VLOOKUP(C59,ADMISSION!B:N,10,))</f>
        <v/>
      </c>
      <c r="G59" s="91" t="str">
        <f t="shared" si="0"/>
        <v/>
      </c>
      <c r="H59" s="91" t="str">
        <f>IF(ISBLANK(C59),"",G59-SUMIF($C$1:C58,C59,$I$1:I58))</f>
        <v/>
      </c>
      <c r="J59" s="91" t="str">
        <f t="shared" si="1"/>
        <v/>
      </c>
      <c r="K59" s="94" t="str">
        <f>IF(ISBLANK(C59),"",SUMIF($C$1:C59,C59,$I$1:I59))</f>
        <v/>
      </c>
    </row>
    <row r="60" spans="1:11" x14ac:dyDescent="0.25">
      <c r="A60" s="130">
        <v>202425058</v>
      </c>
      <c r="D60" s="19" t="str">
        <f>IF(ISBLANK(C60),"",VLOOKUP(C60,ADMISSION!B:N,2,FALSE))</f>
        <v/>
      </c>
      <c r="E60" s="2" t="str">
        <f>IF(ISBLANK(C60),"",VLOOKUP(C60,ADMISSION!B:N,9,0))</f>
        <v/>
      </c>
      <c r="F60" s="2" t="str">
        <f>IF(ISBLANK(C60),"",VLOOKUP(C60,ADMISSION!B:N,10,))</f>
        <v/>
      </c>
      <c r="G60" s="91" t="str">
        <f t="shared" si="0"/>
        <v/>
      </c>
      <c r="H60" s="91" t="str">
        <f>IF(ISBLANK(C60),"",G60-SUMIF($C$1:C59,C60,$I$1:I59))</f>
        <v/>
      </c>
      <c r="J60" s="91" t="str">
        <f t="shared" si="1"/>
        <v/>
      </c>
      <c r="K60" s="94" t="str">
        <f>IF(ISBLANK(C60),"",SUMIF($C$1:C60,C60,$I$1:I60))</f>
        <v/>
      </c>
    </row>
    <row r="61" spans="1:11" x14ac:dyDescent="0.25">
      <c r="A61" s="130">
        <v>202425059</v>
      </c>
      <c r="D61" s="19" t="str">
        <f>IF(ISBLANK(C61),"",VLOOKUP(C61,ADMISSION!B:N,2,FALSE))</f>
        <v/>
      </c>
      <c r="E61" s="2" t="str">
        <f>IF(ISBLANK(C61),"",VLOOKUP(C61,ADMISSION!B:N,9,0))</f>
        <v/>
      </c>
      <c r="F61" s="2" t="str">
        <f>IF(ISBLANK(C61),"",VLOOKUP(C61,ADMISSION!B:N,10,))</f>
        <v/>
      </c>
      <c r="G61" s="91" t="str">
        <f t="shared" si="0"/>
        <v/>
      </c>
      <c r="H61" s="91" t="str">
        <f>IF(ISBLANK(C61),"",G61-SUMIF($C$1:C60,C61,$I$1:I60))</f>
        <v/>
      </c>
      <c r="J61" s="91" t="str">
        <f t="shared" si="1"/>
        <v/>
      </c>
      <c r="K61" s="94" t="str">
        <f>IF(ISBLANK(C61),"",SUMIF($C$1:C61,C61,$I$1:I61))</f>
        <v/>
      </c>
    </row>
    <row r="62" spans="1:11" x14ac:dyDescent="0.25">
      <c r="A62" s="130">
        <v>202425060</v>
      </c>
      <c r="D62" s="19" t="str">
        <f>IF(ISBLANK(C62),"",VLOOKUP(C62,ADMISSION!B:N,2,FALSE))</f>
        <v/>
      </c>
      <c r="E62" s="2" t="str">
        <f>IF(ISBLANK(C62),"",VLOOKUP(C62,ADMISSION!B:N,9,0))</f>
        <v/>
      </c>
      <c r="F62" s="2" t="str">
        <f>IF(ISBLANK(C62),"",VLOOKUP(C62,ADMISSION!B:N,10,))</f>
        <v/>
      </c>
      <c r="G62" s="91" t="str">
        <f t="shared" si="0"/>
        <v/>
      </c>
      <c r="H62" s="91" t="str">
        <f>IF(ISBLANK(C62),"",G62-SUMIF($C$1:C61,C62,$I$1:I61))</f>
        <v/>
      </c>
      <c r="J62" s="91" t="str">
        <f t="shared" si="1"/>
        <v/>
      </c>
      <c r="K62" s="94" t="str">
        <f>IF(ISBLANK(C62),"",SUMIF($C$1:C62,C62,$I$1:I62))</f>
        <v/>
      </c>
    </row>
    <row r="63" spans="1:11" x14ac:dyDescent="0.25">
      <c r="A63" s="130">
        <v>202425061</v>
      </c>
      <c r="D63" s="19" t="str">
        <f>IF(ISBLANK(C63),"",VLOOKUP(C63,ADMISSION!B:N,2,FALSE))</f>
        <v/>
      </c>
      <c r="E63" s="2" t="str">
        <f>IF(ISBLANK(C63),"",VLOOKUP(C63,ADMISSION!B:N,9,0))</f>
        <v/>
      </c>
      <c r="F63" s="2" t="str">
        <f>IF(ISBLANK(C63),"",VLOOKUP(C63,ADMISSION!B:N,10,))</f>
        <v/>
      </c>
      <c r="G63" s="91" t="str">
        <f t="shared" si="0"/>
        <v/>
      </c>
      <c r="H63" s="91" t="str">
        <f>IF(ISBLANK(C63),"",G63-SUMIF($C$1:C62,C63,$I$1:I62))</f>
        <v/>
      </c>
      <c r="J63" s="91" t="str">
        <f t="shared" si="1"/>
        <v/>
      </c>
      <c r="K63" s="94" t="str">
        <f>IF(ISBLANK(C63),"",SUMIF($C$1:C63,C63,$I$1:I63))</f>
        <v/>
      </c>
    </row>
    <row r="64" spans="1:11" x14ac:dyDescent="0.25">
      <c r="A64" s="130">
        <v>202425062</v>
      </c>
      <c r="D64" s="19" t="str">
        <f>IF(ISBLANK(C64),"",VLOOKUP(C64,ADMISSION!B:N,2,FALSE))</f>
        <v/>
      </c>
      <c r="E64" s="2" t="str">
        <f>IF(ISBLANK(C64),"",VLOOKUP(C64,ADMISSION!B:N,9,0))</f>
        <v/>
      </c>
      <c r="F64" s="2" t="str">
        <f>IF(ISBLANK(C64),"",VLOOKUP(C64,ADMISSION!B:N,10,))</f>
        <v/>
      </c>
      <c r="G64" s="91" t="str">
        <f t="shared" si="0"/>
        <v/>
      </c>
      <c r="H64" s="91" t="str">
        <f>IF(ISBLANK(C64),"",G64-SUMIF($C$1:C63,C64,$I$1:I63))</f>
        <v/>
      </c>
      <c r="J64" s="91" t="str">
        <f t="shared" si="1"/>
        <v/>
      </c>
      <c r="K64" s="94" t="str">
        <f>IF(ISBLANK(C64),"",SUMIF($C$1:C64,C64,$I$1:I64))</f>
        <v/>
      </c>
    </row>
    <row r="65" spans="1:11" x14ac:dyDescent="0.25">
      <c r="A65" s="130">
        <v>202425063</v>
      </c>
      <c r="D65" s="19" t="str">
        <f>IF(ISBLANK(C65),"",VLOOKUP(C65,ADMISSION!B:N,2,FALSE))</f>
        <v/>
      </c>
      <c r="E65" s="2" t="str">
        <f>IF(ISBLANK(C65),"",VLOOKUP(C65,ADMISSION!B:N,9,0))</f>
        <v/>
      </c>
      <c r="F65" s="2" t="str">
        <f>IF(ISBLANK(C65),"",VLOOKUP(C65,ADMISSION!B:N,10,))</f>
        <v/>
      </c>
      <c r="G65" s="91" t="str">
        <f t="shared" si="0"/>
        <v/>
      </c>
      <c r="H65" s="91" t="str">
        <f>IF(ISBLANK(C65),"",G65-SUMIF($C$1:C64,C65,$I$1:I64))</f>
        <v/>
      </c>
      <c r="J65" s="91" t="str">
        <f t="shared" si="1"/>
        <v/>
      </c>
      <c r="K65" s="94" t="str">
        <f>IF(ISBLANK(C65),"",SUMIF($C$1:C65,C65,$I$1:I65))</f>
        <v/>
      </c>
    </row>
    <row r="66" spans="1:11" x14ac:dyDescent="0.25">
      <c r="A66" s="130">
        <v>202425064</v>
      </c>
      <c r="D66" s="19" t="str">
        <f>IF(ISBLANK(C66),"",VLOOKUP(C66,ADMISSION!B:N,2,FALSE))</f>
        <v/>
      </c>
      <c r="E66" s="2" t="str">
        <f>IF(ISBLANK(C66),"",VLOOKUP(C66,ADMISSION!B:N,9,0))</f>
        <v/>
      </c>
      <c r="F66" s="2" t="str">
        <f>IF(ISBLANK(C66),"",VLOOKUP(C66,ADMISSION!B:N,10,))</f>
        <v/>
      </c>
      <c r="G66" s="91" t="str">
        <f t="shared" si="0"/>
        <v/>
      </c>
      <c r="H66" s="91" t="str">
        <f>IF(ISBLANK(C66),"",G66-SUMIF($C$1:C65,C66,$I$1:I65))</f>
        <v/>
      </c>
      <c r="J66" s="91" t="str">
        <f t="shared" si="1"/>
        <v/>
      </c>
      <c r="K66" s="94" t="str">
        <f>IF(ISBLANK(C66),"",SUMIF($C$1:C66,C66,$I$1:I66))</f>
        <v/>
      </c>
    </row>
    <row r="67" spans="1:11" x14ac:dyDescent="0.25">
      <c r="A67" s="130">
        <v>202425065</v>
      </c>
      <c r="D67" s="19" t="str">
        <f>IF(ISBLANK(C67),"",VLOOKUP(C67,ADMISSION!B:N,2,FALSE))</f>
        <v/>
      </c>
      <c r="E67" s="2" t="str">
        <f>IF(ISBLANK(C67),"",VLOOKUP(C67,ADMISSION!B:N,9,0))</f>
        <v/>
      </c>
      <c r="F67" s="2" t="str">
        <f>IF(ISBLANK(C67),"",VLOOKUP(C67,ADMISSION!B:N,10,))</f>
        <v/>
      </c>
      <c r="G67" s="91" t="str">
        <f t="shared" si="0"/>
        <v/>
      </c>
      <c r="H67" s="91" t="str">
        <f>IF(ISBLANK(C67),"",G67-SUMIF($C$1:C66,C67,$I$1:I66))</f>
        <v/>
      </c>
      <c r="J67" s="91" t="str">
        <f t="shared" si="1"/>
        <v/>
      </c>
      <c r="K67" s="94" t="str">
        <f>IF(ISBLANK(C67),"",SUMIF($C$1:C67,C67,$I$1:I67))</f>
        <v/>
      </c>
    </row>
    <row r="68" spans="1:11" x14ac:dyDescent="0.25">
      <c r="A68" s="130">
        <v>202425066</v>
      </c>
      <c r="D68" s="19" t="str">
        <f>IF(ISBLANK(C68),"",VLOOKUP(C68,ADMISSION!B:N,2,FALSE))</f>
        <v/>
      </c>
      <c r="E68" s="2" t="str">
        <f>IF(ISBLANK(C68),"",VLOOKUP(C68,ADMISSION!B:N,9,0))</f>
        <v/>
      </c>
      <c r="F68" s="2" t="str">
        <f>IF(ISBLANK(C68),"",VLOOKUP(C68,ADMISSION!B:N,10,))</f>
        <v/>
      </c>
      <c r="G68" s="91" t="str">
        <f t="shared" ref="G68:G131" si="2">IF(ISBLANK(C68),"",E68-F68)</f>
        <v/>
      </c>
      <c r="H68" s="91" t="str">
        <f>IF(ISBLANK(C68),"",G68-SUMIF($C$1:C67,C68,$I$1:I67))</f>
        <v/>
      </c>
      <c r="J68" s="91" t="str">
        <f t="shared" ref="J68:J131" si="3">IF(ISBLANK(C68),"",G68-K68)</f>
        <v/>
      </c>
      <c r="K68" s="94" t="str">
        <f>IF(ISBLANK(C68),"",SUMIF($C$1:C68,C68,$I$1:I68))</f>
        <v/>
      </c>
    </row>
    <row r="69" spans="1:11" x14ac:dyDescent="0.25">
      <c r="A69" s="130">
        <v>202425067</v>
      </c>
      <c r="D69" s="19" t="str">
        <f>IF(ISBLANK(C69),"",VLOOKUP(C69,ADMISSION!B:N,2,FALSE))</f>
        <v/>
      </c>
      <c r="E69" s="2" t="str">
        <f>IF(ISBLANK(C69),"",VLOOKUP(C69,ADMISSION!B:N,9,0))</f>
        <v/>
      </c>
      <c r="F69" s="2" t="str">
        <f>IF(ISBLANK(C69),"",VLOOKUP(C69,ADMISSION!B:N,10,))</f>
        <v/>
      </c>
      <c r="G69" s="91" t="str">
        <f t="shared" si="2"/>
        <v/>
      </c>
      <c r="H69" s="91" t="str">
        <f>IF(ISBLANK(C69),"",G69-SUMIF($C$1:C68,C69,$I$1:I68))</f>
        <v/>
      </c>
      <c r="J69" s="91" t="str">
        <f t="shared" si="3"/>
        <v/>
      </c>
      <c r="K69" s="94" t="str">
        <f>IF(ISBLANK(C69),"",SUMIF($C$1:C69,C69,$I$1:I69))</f>
        <v/>
      </c>
    </row>
    <row r="70" spans="1:11" x14ac:dyDescent="0.25">
      <c r="A70" s="130">
        <v>202425068</v>
      </c>
      <c r="D70" s="19" t="str">
        <f>IF(ISBLANK(C70),"",VLOOKUP(C70,ADMISSION!B:N,2,FALSE))</f>
        <v/>
      </c>
      <c r="E70" s="2" t="str">
        <f>IF(ISBLANK(C70),"",VLOOKUP(C70,ADMISSION!B:N,9,0))</f>
        <v/>
      </c>
      <c r="F70" s="2" t="str">
        <f>IF(ISBLANK(C70),"",VLOOKUP(C70,ADMISSION!B:N,10,))</f>
        <v/>
      </c>
      <c r="G70" s="91" t="str">
        <f t="shared" si="2"/>
        <v/>
      </c>
      <c r="H70" s="91" t="str">
        <f>IF(ISBLANK(C70),"",G70-SUMIF($C$1:C69,C70,$I$1:I69))</f>
        <v/>
      </c>
      <c r="J70" s="91" t="str">
        <f t="shared" si="3"/>
        <v/>
      </c>
      <c r="K70" s="94" t="str">
        <f>IF(ISBLANK(C70),"",SUMIF($C$1:C70,C70,$I$1:I70))</f>
        <v/>
      </c>
    </row>
    <row r="71" spans="1:11" x14ac:dyDescent="0.25">
      <c r="A71" s="130">
        <v>202425069</v>
      </c>
      <c r="D71" s="19" t="str">
        <f>IF(ISBLANK(C71),"",VLOOKUP(C71,ADMISSION!B:N,2,FALSE))</f>
        <v/>
      </c>
      <c r="E71" s="2" t="str">
        <f>IF(ISBLANK(C71),"",VLOOKUP(C71,ADMISSION!B:N,9,0))</f>
        <v/>
      </c>
      <c r="F71" s="2" t="str">
        <f>IF(ISBLANK(C71),"",VLOOKUP(C71,ADMISSION!B:N,10,))</f>
        <v/>
      </c>
      <c r="G71" s="91" t="str">
        <f t="shared" si="2"/>
        <v/>
      </c>
      <c r="H71" s="91" t="str">
        <f>IF(ISBLANK(C71),"",G71-SUMIF($C$1:C70,C71,$I$1:I70))</f>
        <v/>
      </c>
      <c r="J71" s="91" t="str">
        <f t="shared" si="3"/>
        <v/>
      </c>
      <c r="K71" s="94" t="str">
        <f>IF(ISBLANK(C71),"",SUMIF($C$1:C71,C71,$I$1:I71))</f>
        <v/>
      </c>
    </row>
    <row r="72" spans="1:11" x14ac:dyDescent="0.25">
      <c r="A72" s="130">
        <v>202425070</v>
      </c>
      <c r="D72" s="19" t="str">
        <f>IF(ISBLANK(C72),"",VLOOKUP(C72,ADMISSION!B:N,2,FALSE))</f>
        <v/>
      </c>
      <c r="E72" s="2" t="str">
        <f>IF(ISBLANK(C72),"",VLOOKUP(C72,ADMISSION!B:N,9,0))</f>
        <v/>
      </c>
      <c r="F72" s="2" t="str">
        <f>IF(ISBLANK(C72),"",VLOOKUP(C72,ADMISSION!B:N,10,))</f>
        <v/>
      </c>
      <c r="G72" s="91" t="str">
        <f t="shared" si="2"/>
        <v/>
      </c>
      <c r="H72" s="91" t="str">
        <f>IF(ISBLANK(C72),"",G72-SUMIF($C$1:C71,C72,$I$1:I71))</f>
        <v/>
      </c>
      <c r="J72" s="91" t="str">
        <f t="shared" si="3"/>
        <v/>
      </c>
      <c r="K72" s="94" t="str">
        <f>IF(ISBLANK(C72),"",SUMIF($C$1:C72,C72,$I$1:I72))</f>
        <v/>
      </c>
    </row>
    <row r="73" spans="1:11" x14ac:dyDescent="0.25">
      <c r="A73" s="130">
        <v>202425071</v>
      </c>
      <c r="D73" s="19" t="str">
        <f>IF(ISBLANK(C73),"",VLOOKUP(C73,ADMISSION!B:N,2,FALSE))</f>
        <v/>
      </c>
      <c r="E73" s="2" t="str">
        <f>IF(ISBLANK(C73),"",VLOOKUP(C73,ADMISSION!B:N,9,0))</f>
        <v/>
      </c>
      <c r="F73" s="2" t="str">
        <f>IF(ISBLANK(C73),"",VLOOKUP(C73,ADMISSION!B:N,10,))</f>
        <v/>
      </c>
      <c r="G73" s="91" t="str">
        <f t="shared" si="2"/>
        <v/>
      </c>
      <c r="H73" s="91" t="str">
        <f>IF(ISBLANK(C73),"",G73-SUMIF($C$1:C72,C73,$I$1:I72))</f>
        <v/>
      </c>
      <c r="J73" s="91" t="str">
        <f t="shared" si="3"/>
        <v/>
      </c>
      <c r="K73" s="94" t="str">
        <f>IF(ISBLANK(C73),"",SUMIF($C$1:C73,C73,$I$1:I73))</f>
        <v/>
      </c>
    </row>
    <row r="74" spans="1:11" x14ac:dyDescent="0.25">
      <c r="A74" s="130">
        <v>202425072</v>
      </c>
      <c r="D74" s="19" t="str">
        <f>IF(ISBLANK(C74),"",VLOOKUP(C74,ADMISSION!B:N,2,FALSE))</f>
        <v/>
      </c>
      <c r="E74" s="2" t="str">
        <f>IF(ISBLANK(C74),"",VLOOKUP(C74,ADMISSION!B:N,9,0))</f>
        <v/>
      </c>
      <c r="F74" s="2" t="str">
        <f>IF(ISBLANK(C74),"",VLOOKUP(C74,ADMISSION!B:N,10,))</f>
        <v/>
      </c>
      <c r="G74" s="91" t="str">
        <f t="shared" si="2"/>
        <v/>
      </c>
      <c r="H74" s="91" t="str">
        <f>IF(ISBLANK(C74),"",G74-SUMIF($C$1:C73,C74,$I$1:I73))</f>
        <v/>
      </c>
      <c r="J74" s="91" t="str">
        <f t="shared" si="3"/>
        <v/>
      </c>
      <c r="K74" s="94" t="str">
        <f>IF(ISBLANK(C74),"",SUMIF($C$1:C74,C74,$I$1:I74))</f>
        <v/>
      </c>
    </row>
    <row r="75" spans="1:11" x14ac:dyDescent="0.25">
      <c r="A75" s="130">
        <v>202425073</v>
      </c>
      <c r="D75" s="19" t="str">
        <f>IF(ISBLANK(C75),"",VLOOKUP(C75,ADMISSION!B:N,2,FALSE))</f>
        <v/>
      </c>
      <c r="E75" s="2" t="str">
        <f>IF(ISBLANK(C75),"",VLOOKUP(C75,ADMISSION!B:N,9,0))</f>
        <v/>
      </c>
      <c r="F75" s="2" t="str">
        <f>IF(ISBLANK(C75),"",VLOOKUP(C75,ADMISSION!B:N,10,))</f>
        <v/>
      </c>
      <c r="G75" s="91" t="str">
        <f t="shared" si="2"/>
        <v/>
      </c>
      <c r="H75" s="91" t="str">
        <f>IF(ISBLANK(C75),"",G75-SUMIF($C$1:C74,C75,$I$1:I74))</f>
        <v/>
      </c>
      <c r="J75" s="91" t="str">
        <f t="shared" si="3"/>
        <v/>
      </c>
      <c r="K75" s="94" t="str">
        <f>IF(ISBLANK(C75),"",SUMIF($C$1:C75,C75,$I$1:I75))</f>
        <v/>
      </c>
    </row>
    <row r="76" spans="1:11" x14ac:dyDescent="0.25">
      <c r="A76" s="130">
        <v>202425074</v>
      </c>
      <c r="D76" s="19" t="str">
        <f>IF(ISBLANK(C76),"",VLOOKUP(C76,ADMISSION!B:N,2,FALSE))</f>
        <v/>
      </c>
      <c r="E76" s="2" t="str">
        <f>IF(ISBLANK(C76),"",VLOOKUP(C76,ADMISSION!B:N,9,0))</f>
        <v/>
      </c>
      <c r="F76" s="2" t="str">
        <f>IF(ISBLANK(C76),"",VLOOKUP(C76,ADMISSION!B:N,10,))</f>
        <v/>
      </c>
      <c r="G76" s="91" t="str">
        <f t="shared" si="2"/>
        <v/>
      </c>
      <c r="H76" s="91" t="str">
        <f>IF(ISBLANK(C76),"",G76-SUMIF($C$1:C75,C76,$I$1:I75))</f>
        <v/>
      </c>
      <c r="J76" s="91" t="str">
        <f t="shared" si="3"/>
        <v/>
      </c>
      <c r="K76" s="94" t="str">
        <f>IF(ISBLANK(C76),"",SUMIF($C$1:C76,C76,$I$1:I76))</f>
        <v/>
      </c>
    </row>
    <row r="77" spans="1:11" x14ac:dyDescent="0.25">
      <c r="A77" s="130">
        <v>202425075</v>
      </c>
      <c r="D77" s="19" t="str">
        <f>IF(ISBLANK(C77),"",VLOOKUP(C77,ADMISSION!B:N,2,FALSE))</f>
        <v/>
      </c>
      <c r="E77" s="2" t="str">
        <f>IF(ISBLANK(C77),"",VLOOKUP(C77,ADMISSION!B:N,9,0))</f>
        <v/>
      </c>
      <c r="F77" s="2" t="str">
        <f>IF(ISBLANK(C77),"",VLOOKUP(C77,ADMISSION!B:N,10,))</f>
        <v/>
      </c>
      <c r="G77" s="91" t="str">
        <f t="shared" si="2"/>
        <v/>
      </c>
      <c r="H77" s="91" t="str">
        <f>IF(ISBLANK(C77),"",G77-SUMIF($C$1:C76,C77,$I$1:I76))</f>
        <v/>
      </c>
      <c r="J77" s="91" t="str">
        <f t="shared" si="3"/>
        <v/>
      </c>
      <c r="K77" s="94" t="str">
        <f>IF(ISBLANK(C77),"",SUMIF($C$1:C77,C77,$I$1:I77))</f>
        <v/>
      </c>
    </row>
    <row r="78" spans="1:11" x14ac:dyDescent="0.25">
      <c r="A78" s="130">
        <v>202425076</v>
      </c>
      <c r="D78" s="19" t="str">
        <f>IF(ISBLANK(C78),"",VLOOKUP(C78,ADMISSION!B:N,2,FALSE))</f>
        <v/>
      </c>
      <c r="E78" s="2" t="str">
        <f>IF(ISBLANK(C78),"",VLOOKUP(C78,ADMISSION!B:N,9,0))</f>
        <v/>
      </c>
      <c r="F78" s="2" t="str">
        <f>IF(ISBLANK(C78),"",VLOOKUP(C78,ADMISSION!B:N,10,))</f>
        <v/>
      </c>
      <c r="G78" s="91" t="str">
        <f t="shared" si="2"/>
        <v/>
      </c>
      <c r="H78" s="91" t="str">
        <f>IF(ISBLANK(C78),"",G78-SUMIF($C$1:C77,C78,$I$1:I77))</f>
        <v/>
      </c>
      <c r="J78" s="91" t="str">
        <f t="shared" si="3"/>
        <v/>
      </c>
      <c r="K78" s="94" t="str">
        <f>IF(ISBLANK(C78),"",SUMIF($C$1:C78,C78,$I$1:I78))</f>
        <v/>
      </c>
    </row>
    <row r="79" spans="1:11" x14ac:dyDescent="0.25">
      <c r="A79" s="130">
        <v>202425077</v>
      </c>
      <c r="D79" s="19" t="str">
        <f>IF(ISBLANK(C79),"",VLOOKUP(C79,ADMISSION!B:N,2,FALSE))</f>
        <v/>
      </c>
      <c r="E79" s="2" t="str">
        <f>IF(ISBLANK(C79),"",VLOOKUP(C79,ADMISSION!B:N,9,0))</f>
        <v/>
      </c>
      <c r="F79" s="2" t="str">
        <f>IF(ISBLANK(C79),"",VLOOKUP(C79,ADMISSION!B:N,10,))</f>
        <v/>
      </c>
      <c r="G79" s="91" t="str">
        <f t="shared" si="2"/>
        <v/>
      </c>
      <c r="H79" s="91" t="str">
        <f>IF(ISBLANK(C79),"",G79-SUMIF($C$1:C78,C79,$I$1:I78))</f>
        <v/>
      </c>
      <c r="J79" s="91" t="str">
        <f t="shared" si="3"/>
        <v/>
      </c>
      <c r="K79" s="94" t="str">
        <f>IF(ISBLANK(C79),"",SUMIF($C$1:C79,C79,$I$1:I79))</f>
        <v/>
      </c>
    </row>
    <row r="80" spans="1:11" x14ac:dyDescent="0.25">
      <c r="A80" s="130">
        <v>202425078</v>
      </c>
      <c r="D80" s="19" t="str">
        <f>IF(ISBLANK(C80),"",VLOOKUP(C80,ADMISSION!B:N,2,FALSE))</f>
        <v/>
      </c>
      <c r="E80" s="2" t="str">
        <f>IF(ISBLANK(C80),"",VLOOKUP(C80,ADMISSION!B:N,9,0))</f>
        <v/>
      </c>
      <c r="F80" s="2" t="str">
        <f>IF(ISBLANK(C80),"",VLOOKUP(C80,ADMISSION!B:N,10,))</f>
        <v/>
      </c>
      <c r="G80" s="91" t="str">
        <f t="shared" si="2"/>
        <v/>
      </c>
      <c r="H80" s="91" t="str">
        <f>IF(ISBLANK(C80),"",G80-SUMIF($C$1:C79,C80,$I$1:I79))</f>
        <v/>
      </c>
      <c r="J80" s="91" t="str">
        <f t="shared" si="3"/>
        <v/>
      </c>
      <c r="K80" s="94" t="str">
        <f>IF(ISBLANK(C80),"",SUMIF($C$1:C80,C80,$I$1:I80))</f>
        <v/>
      </c>
    </row>
    <row r="81" spans="1:11" x14ac:dyDescent="0.25">
      <c r="A81" s="130">
        <v>202425079</v>
      </c>
      <c r="D81" s="19" t="str">
        <f>IF(ISBLANK(C81),"",VLOOKUP(C81,ADMISSION!B:N,2,FALSE))</f>
        <v/>
      </c>
      <c r="E81" s="2" t="str">
        <f>IF(ISBLANK(C81),"",VLOOKUP(C81,ADMISSION!B:N,9,0))</f>
        <v/>
      </c>
      <c r="F81" s="2" t="str">
        <f>IF(ISBLANK(C81),"",VLOOKUP(C81,ADMISSION!B:N,10,))</f>
        <v/>
      </c>
      <c r="G81" s="91" t="str">
        <f t="shared" si="2"/>
        <v/>
      </c>
      <c r="H81" s="91" t="str">
        <f>IF(ISBLANK(C81),"",G81-SUMIF($C$1:C80,C81,$I$1:I80))</f>
        <v/>
      </c>
      <c r="J81" s="91" t="str">
        <f t="shared" si="3"/>
        <v/>
      </c>
      <c r="K81" s="94" t="str">
        <f>IF(ISBLANK(C81),"",SUMIF($C$1:C81,C81,$I$1:I81))</f>
        <v/>
      </c>
    </row>
    <row r="82" spans="1:11" x14ac:dyDescent="0.25">
      <c r="A82" s="130">
        <v>202425080</v>
      </c>
      <c r="D82" s="19" t="str">
        <f>IF(ISBLANK(C82),"",VLOOKUP(C82,ADMISSION!B:N,2,FALSE))</f>
        <v/>
      </c>
      <c r="E82" s="2" t="str">
        <f>IF(ISBLANK(C82),"",VLOOKUP(C82,ADMISSION!B:N,9,0))</f>
        <v/>
      </c>
      <c r="F82" s="2" t="str">
        <f>IF(ISBLANK(C82),"",VLOOKUP(C82,ADMISSION!B:N,10,))</f>
        <v/>
      </c>
      <c r="G82" s="91" t="str">
        <f t="shared" si="2"/>
        <v/>
      </c>
      <c r="H82" s="91" t="str">
        <f>IF(ISBLANK(C82),"",G82-SUMIF($C$1:C81,C82,$I$1:I81))</f>
        <v/>
      </c>
      <c r="J82" s="91" t="str">
        <f t="shared" si="3"/>
        <v/>
      </c>
      <c r="K82" s="94" t="str">
        <f>IF(ISBLANK(C82),"",SUMIF($C$1:C82,C82,$I$1:I82))</f>
        <v/>
      </c>
    </row>
    <row r="83" spans="1:11" x14ac:dyDescent="0.25">
      <c r="A83" s="130">
        <v>202425081</v>
      </c>
      <c r="D83" s="19" t="str">
        <f>IF(ISBLANK(C83),"",VLOOKUP(C83,ADMISSION!B:N,2,FALSE))</f>
        <v/>
      </c>
      <c r="E83" s="2" t="str">
        <f>IF(ISBLANK(C83),"",VLOOKUP(C83,ADMISSION!B:N,9,0))</f>
        <v/>
      </c>
      <c r="F83" s="2" t="str">
        <f>IF(ISBLANK(C83),"",VLOOKUP(C83,ADMISSION!B:N,10,))</f>
        <v/>
      </c>
      <c r="G83" s="91" t="str">
        <f t="shared" si="2"/>
        <v/>
      </c>
      <c r="H83" s="91" t="str">
        <f>IF(ISBLANK(C83),"",G83-SUMIF($C$1:C82,C83,$I$1:I82))</f>
        <v/>
      </c>
      <c r="J83" s="91" t="str">
        <f t="shared" si="3"/>
        <v/>
      </c>
      <c r="K83" s="94" t="str">
        <f>IF(ISBLANK(C83),"",SUMIF($C$1:C83,C83,$I$1:I83))</f>
        <v/>
      </c>
    </row>
    <row r="84" spans="1:11" x14ac:dyDescent="0.25">
      <c r="A84" s="130">
        <v>202425082</v>
      </c>
      <c r="D84" s="19" t="str">
        <f>IF(ISBLANK(C84),"",VLOOKUP(C84,ADMISSION!B:N,2,FALSE))</f>
        <v/>
      </c>
      <c r="E84" s="2" t="str">
        <f>IF(ISBLANK(C84),"",VLOOKUP(C84,ADMISSION!B:N,9,0))</f>
        <v/>
      </c>
      <c r="F84" s="2" t="str">
        <f>IF(ISBLANK(C84),"",VLOOKUP(C84,ADMISSION!B:N,10,))</f>
        <v/>
      </c>
      <c r="G84" s="91" t="str">
        <f t="shared" si="2"/>
        <v/>
      </c>
      <c r="H84" s="91" t="str">
        <f>IF(ISBLANK(C84),"",G84-SUMIF($C$1:C83,C84,$I$1:I83))</f>
        <v/>
      </c>
      <c r="J84" s="91" t="str">
        <f t="shared" si="3"/>
        <v/>
      </c>
      <c r="K84" s="94" t="str">
        <f>IF(ISBLANK(C84),"",SUMIF($C$1:C84,C84,$I$1:I84))</f>
        <v/>
      </c>
    </row>
    <row r="85" spans="1:11" x14ac:dyDescent="0.25">
      <c r="A85" s="130">
        <v>202425083</v>
      </c>
      <c r="D85" s="19" t="str">
        <f>IF(ISBLANK(C85),"",VLOOKUP(C85,ADMISSION!B:N,2,FALSE))</f>
        <v/>
      </c>
      <c r="E85" s="2" t="str">
        <f>IF(ISBLANK(C85),"",VLOOKUP(C85,ADMISSION!B:N,9,0))</f>
        <v/>
      </c>
      <c r="F85" s="2" t="str">
        <f>IF(ISBLANK(C85),"",VLOOKUP(C85,ADMISSION!B:N,10,))</f>
        <v/>
      </c>
      <c r="G85" s="91" t="str">
        <f t="shared" si="2"/>
        <v/>
      </c>
      <c r="H85" s="91" t="str">
        <f>IF(ISBLANK(C85),"",G85-SUMIF($C$1:C84,C85,$I$1:I84))</f>
        <v/>
      </c>
      <c r="J85" s="91" t="str">
        <f t="shared" si="3"/>
        <v/>
      </c>
      <c r="K85" s="94" t="str">
        <f>IF(ISBLANK(C85),"",SUMIF($C$1:C85,C85,$I$1:I85))</f>
        <v/>
      </c>
    </row>
    <row r="86" spans="1:11" x14ac:dyDescent="0.25">
      <c r="A86" s="130">
        <v>202425084</v>
      </c>
      <c r="D86" s="19" t="str">
        <f>IF(ISBLANK(C86),"",VLOOKUP(C86,ADMISSION!B:N,2,FALSE))</f>
        <v/>
      </c>
      <c r="E86" s="2" t="str">
        <f>IF(ISBLANK(C86),"",VLOOKUP(C86,ADMISSION!B:N,9,0))</f>
        <v/>
      </c>
      <c r="F86" s="2" t="str">
        <f>IF(ISBLANK(C86),"",VLOOKUP(C86,ADMISSION!B:N,10,))</f>
        <v/>
      </c>
      <c r="G86" s="91" t="str">
        <f t="shared" si="2"/>
        <v/>
      </c>
      <c r="H86" s="91" t="str">
        <f>IF(ISBLANK(C86),"",G86-SUMIF($C$1:C85,C86,$I$1:I85))</f>
        <v/>
      </c>
      <c r="J86" s="91" t="str">
        <f t="shared" si="3"/>
        <v/>
      </c>
      <c r="K86" s="94" t="str">
        <f>IF(ISBLANK(C86),"",SUMIF($C$1:C86,C86,$I$1:I86))</f>
        <v/>
      </c>
    </row>
    <row r="87" spans="1:11" x14ac:dyDescent="0.25">
      <c r="A87" s="130">
        <v>202425085</v>
      </c>
      <c r="D87" s="19" t="str">
        <f>IF(ISBLANK(C87),"",VLOOKUP(C87,ADMISSION!B:N,2,FALSE))</f>
        <v/>
      </c>
      <c r="E87" s="2" t="str">
        <f>IF(ISBLANK(C87),"",VLOOKUP(C87,ADMISSION!B:N,9,0))</f>
        <v/>
      </c>
      <c r="F87" s="2" t="str">
        <f>IF(ISBLANK(C87),"",VLOOKUP(C87,ADMISSION!B:N,10,))</f>
        <v/>
      </c>
      <c r="G87" s="91" t="str">
        <f t="shared" si="2"/>
        <v/>
      </c>
      <c r="H87" s="91" t="str">
        <f>IF(ISBLANK(C87),"",G87-SUMIF($C$1:C86,C87,$I$1:I86))</f>
        <v/>
      </c>
      <c r="J87" s="91" t="str">
        <f t="shared" si="3"/>
        <v/>
      </c>
      <c r="K87" s="94" t="str">
        <f>IF(ISBLANK(C87),"",SUMIF($C$1:C87,C87,$I$1:I87))</f>
        <v/>
      </c>
    </row>
    <row r="88" spans="1:11" x14ac:dyDescent="0.25">
      <c r="A88" s="130">
        <v>202425086</v>
      </c>
      <c r="D88" s="19" t="str">
        <f>IF(ISBLANK(C88),"",VLOOKUP(C88,ADMISSION!B:N,2,FALSE))</f>
        <v/>
      </c>
      <c r="E88" s="2" t="str">
        <f>IF(ISBLANK(C88),"",VLOOKUP(C88,ADMISSION!B:N,9,0))</f>
        <v/>
      </c>
      <c r="F88" s="2" t="str">
        <f>IF(ISBLANK(C88),"",VLOOKUP(C88,ADMISSION!B:N,10,))</f>
        <v/>
      </c>
      <c r="G88" s="91" t="str">
        <f t="shared" si="2"/>
        <v/>
      </c>
      <c r="H88" s="91" t="str">
        <f>IF(ISBLANK(C88),"",G88-SUMIF($C$1:C87,C88,$I$1:I87))</f>
        <v/>
      </c>
      <c r="J88" s="91" t="str">
        <f t="shared" si="3"/>
        <v/>
      </c>
      <c r="K88" s="94" t="str">
        <f>IF(ISBLANK(C88),"",SUMIF($C$1:C88,C88,$I$1:I88))</f>
        <v/>
      </c>
    </row>
    <row r="89" spans="1:11" x14ac:dyDescent="0.25">
      <c r="A89" s="130">
        <v>202425087</v>
      </c>
      <c r="D89" s="19" t="str">
        <f>IF(ISBLANK(C89),"",VLOOKUP(C89,ADMISSION!B:N,2,FALSE))</f>
        <v/>
      </c>
      <c r="E89" s="2" t="str">
        <f>IF(ISBLANK(C89),"",VLOOKUP(C89,ADMISSION!B:N,9,0))</f>
        <v/>
      </c>
      <c r="F89" s="2" t="str">
        <f>IF(ISBLANK(C89),"",VLOOKUP(C89,ADMISSION!B:N,10,))</f>
        <v/>
      </c>
      <c r="G89" s="91" t="str">
        <f t="shared" si="2"/>
        <v/>
      </c>
      <c r="H89" s="91" t="str">
        <f>IF(ISBLANK(C89),"",G89-SUMIF($C$1:C88,C89,$I$1:I88))</f>
        <v/>
      </c>
      <c r="J89" s="91" t="str">
        <f t="shared" si="3"/>
        <v/>
      </c>
      <c r="K89" s="94" t="str">
        <f>IF(ISBLANK(C89),"",SUMIF($C$1:C89,C89,$I$1:I89))</f>
        <v/>
      </c>
    </row>
    <row r="90" spans="1:11" x14ac:dyDescent="0.25">
      <c r="A90" s="130">
        <v>202425088</v>
      </c>
      <c r="D90" s="19" t="str">
        <f>IF(ISBLANK(C90),"",VLOOKUP(C90,ADMISSION!B:N,2,FALSE))</f>
        <v/>
      </c>
      <c r="E90" s="2" t="str">
        <f>IF(ISBLANK(C90),"",VLOOKUP(C90,ADMISSION!B:N,9,0))</f>
        <v/>
      </c>
      <c r="F90" s="2" t="str">
        <f>IF(ISBLANK(C90),"",VLOOKUP(C90,ADMISSION!B:N,10,))</f>
        <v/>
      </c>
      <c r="G90" s="91" t="str">
        <f t="shared" si="2"/>
        <v/>
      </c>
      <c r="H90" s="91" t="str">
        <f>IF(ISBLANK(C90),"",G90-SUMIF($C$1:C89,C90,$I$1:I89))</f>
        <v/>
      </c>
      <c r="J90" s="91" t="str">
        <f t="shared" si="3"/>
        <v/>
      </c>
      <c r="K90" s="94" t="str">
        <f>IF(ISBLANK(C90),"",SUMIF($C$1:C90,C90,$I$1:I90))</f>
        <v/>
      </c>
    </row>
    <row r="91" spans="1:11" x14ac:dyDescent="0.25">
      <c r="A91" s="130">
        <v>202425089</v>
      </c>
      <c r="D91" s="19" t="str">
        <f>IF(ISBLANK(C91),"",VLOOKUP(C91,ADMISSION!B:N,2,FALSE))</f>
        <v/>
      </c>
      <c r="E91" s="2" t="str">
        <f>IF(ISBLANK(C91),"",VLOOKUP(C91,ADMISSION!B:N,9,0))</f>
        <v/>
      </c>
      <c r="F91" s="2" t="str">
        <f>IF(ISBLANK(C91),"",VLOOKUP(C91,ADMISSION!B:N,10,))</f>
        <v/>
      </c>
      <c r="G91" s="91" t="str">
        <f t="shared" si="2"/>
        <v/>
      </c>
      <c r="H91" s="91" t="str">
        <f>IF(ISBLANK(C91),"",G91-SUMIF($C$1:C90,C91,$I$1:I90))</f>
        <v/>
      </c>
      <c r="J91" s="91" t="str">
        <f t="shared" si="3"/>
        <v/>
      </c>
      <c r="K91" s="94" t="str">
        <f>IF(ISBLANK(C91),"",SUMIF($C$1:C91,C91,$I$1:I91))</f>
        <v/>
      </c>
    </row>
    <row r="92" spans="1:11" x14ac:dyDescent="0.25">
      <c r="A92" s="130">
        <v>202425090</v>
      </c>
      <c r="D92" s="19" t="str">
        <f>IF(ISBLANK(C92),"",VLOOKUP(C92,ADMISSION!B:N,2,FALSE))</f>
        <v/>
      </c>
      <c r="E92" s="2" t="str">
        <f>IF(ISBLANK(C92),"",VLOOKUP(C92,ADMISSION!B:N,9,0))</f>
        <v/>
      </c>
      <c r="F92" s="2" t="str">
        <f>IF(ISBLANK(C92),"",VLOOKUP(C92,ADMISSION!B:N,10,))</f>
        <v/>
      </c>
      <c r="G92" s="91" t="str">
        <f t="shared" si="2"/>
        <v/>
      </c>
      <c r="H92" s="91" t="str">
        <f>IF(ISBLANK(C92),"",G92-SUMIF($C$1:C91,C92,$I$1:I91))</f>
        <v/>
      </c>
      <c r="J92" s="91" t="str">
        <f t="shared" si="3"/>
        <v/>
      </c>
      <c r="K92" s="94" t="str">
        <f>IF(ISBLANK(C92),"",SUMIF($C$1:C92,C92,$I$1:I92))</f>
        <v/>
      </c>
    </row>
    <row r="93" spans="1:11" x14ac:dyDescent="0.25">
      <c r="A93" s="130">
        <v>202425091</v>
      </c>
      <c r="D93" s="19" t="str">
        <f>IF(ISBLANK(C93),"",VLOOKUP(C93,ADMISSION!B:N,2,FALSE))</f>
        <v/>
      </c>
      <c r="E93" s="2" t="str">
        <f>IF(ISBLANK(C93),"",VLOOKUP(C93,ADMISSION!B:N,9,0))</f>
        <v/>
      </c>
      <c r="F93" s="2" t="str">
        <f>IF(ISBLANK(C93),"",VLOOKUP(C93,ADMISSION!B:N,10,))</f>
        <v/>
      </c>
      <c r="G93" s="91" t="str">
        <f t="shared" si="2"/>
        <v/>
      </c>
      <c r="H93" s="91" t="str">
        <f>IF(ISBLANK(C93),"",G93-SUMIF($C$1:C92,C93,$I$1:I92))</f>
        <v/>
      </c>
      <c r="J93" s="91" t="str">
        <f t="shared" si="3"/>
        <v/>
      </c>
      <c r="K93" s="94" t="str">
        <f>IF(ISBLANK(C93),"",SUMIF($C$1:C93,C93,$I$1:I93))</f>
        <v/>
      </c>
    </row>
    <row r="94" spans="1:11" x14ac:dyDescent="0.25">
      <c r="A94" s="130">
        <v>202425092</v>
      </c>
      <c r="D94" s="19" t="str">
        <f>IF(ISBLANK(C94),"",VLOOKUP(C94,ADMISSION!B:N,2,FALSE))</f>
        <v/>
      </c>
      <c r="E94" s="2" t="str">
        <f>IF(ISBLANK(C94),"",VLOOKUP(C94,ADMISSION!B:N,9,0))</f>
        <v/>
      </c>
      <c r="F94" s="2" t="str">
        <f>IF(ISBLANK(C94),"",VLOOKUP(C94,ADMISSION!B:N,10,))</f>
        <v/>
      </c>
      <c r="G94" s="91" t="str">
        <f t="shared" si="2"/>
        <v/>
      </c>
      <c r="H94" s="91" t="str">
        <f>IF(ISBLANK(C94),"",G94-SUMIF($C$1:C93,C94,$I$1:I93))</f>
        <v/>
      </c>
      <c r="J94" s="91" t="str">
        <f t="shared" si="3"/>
        <v/>
      </c>
      <c r="K94" s="94" t="str">
        <f>IF(ISBLANK(C94),"",SUMIF($C$1:C94,C94,$I$1:I94))</f>
        <v/>
      </c>
    </row>
    <row r="95" spans="1:11" x14ac:dyDescent="0.25">
      <c r="A95" s="130">
        <v>202425093</v>
      </c>
      <c r="D95" s="19" t="str">
        <f>IF(ISBLANK(C95),"",VLOOKUP(C95,ADMISSION!B:N,2,FALSE))</f>
        <v/>
      </c>
      <c r="E95" s="2" t="str">
        <f>IF(ISBLANK(C95),"",VLOOKUP(C95,ADMISSION!B:N,9,0))</f>
        <v/>
      </c>
      <c r="F95" s="2" t="str">
        <f>IF(ISBLANK(C95),"",VLOOKUP(C95,ADMISSION!B:N,10,))</f>
        <v/>
      </c>
      <c r="G95" s="91" t="str">
        <f t="shared" si="2"/>
        <v/>
      </c>
      <c r="H95" s="91" t="str">
        <f>IF(ISBLANK(C95),"",G95-SUMIF($C$1:C94,C95,$I$1:I94))</f>
        <v/>
      </c>
      <c r="J95" s="91" t="str">
        <f t="shared" si="3"/>
        <v/>
      </c>
      <c r="K95" s="94" t="str">
        <f>IF(ISBLANK(C95),"",SUMIF($C$1:C95,C95,$I$1:I95))</f>
        <v/>
      </c>
    </row>
    <row r="96" spans="1:11" x14ac:dyDescent="0.25">
      <c r="A96" s="130">
        <v>202425094</v>
      </c>
      <c r="D96" s="19" t="str">
        <f>IF(ISBLANK(C96),"",VLOOKUP(C96,ADMISSION!B:N,2,FALSE))</f>
        <v/>
      </c>
      <c r="E96" s="2" t="str">
        <f>IF(ISBLANK(C96),"",VLOOKUP(C96,ADMISSION!B:N,9,0))</f>
        <v/>
      </c>
      <c r="F96" s="2" t="str">
        <f>IF(ISBLANK(C96),"",VLOOKUP(C96,ADMISSION!B:N,10,))</f>
        <v/>
      </c>
      <c r="G96" s="91" t="str">
        <f t="shared" si="2"/>
        <v/>
      </c>
      <c r="H96" s="91" t="str">
        <f>IF(ISBLANK(C96),"",G96-SUMIF($C$1:C95,C96,$I$1:I95))</f>
        <v/>
      </c>
      <c r="J96" s="91" t="str">
        <f t="shared" si="3"/>
        <v/>
      </c>
      <c r="K96" s="94" t="str">
        <f>IF(ISBLANK(C96),"",SUMIF($C$1:C96,C96,$I$1:I96))</f>
        <v/>
      </c>
    </row>
    <row r="97" spans="1:11" x14ac:dyDescent="0.25">
      <c r="A97" s="130">
        <v>202425095</v>
      </c>
      <c r="D97" s="19" t="str">
        <f>IF(ISBLANK(C97),"",VLOOKUP(C97,ADMISSION!B:N,2,FALSE))</f>
        <v/>
      </c>
      <c r="E97" s="2" t="str">
        <f>IF(ISBLANK(C97),"",VLOOKUP(C97,ADMISSION!B:N,9,0))</f>
        <v/>
      </c>
      <c r="F97" s="2" t="str">
        <f>IF(ISBLANK(C97),"",VLOOKUP(C97,ADMISSION!B:N,10,))</f>
        <v/>
      </c>
      <c r="G97" s="91" t="str">
        <f t="shared" si="2"/>
        <v/>
      </c>
      <c r="H97" s="91" t="str">
        <f>IF(ISBLANK(C97),"",G97-SUMIF($C$1:C96,C97,$I$1:I96))</f>
        <v/>
      </c>
      <c r="J97" s="91" t="str">
        <f t="shared" si="3"/>
        <v/>
      </c>
      <c r="K97" s="94" t="str">
        <f>IF(ISBLANK(C97),"",SUMIF($C$1:C97,C97,$I$1:I97))</f>
        <v/>
      </c>
    </row>
    <row r="98" spans="1:11" x14ac:dyDescent="0.25">
      <c r="A98" s="130">
        <v>202425096</v>
      </c>
      <c r="D98" s="19" t="str">
        <f>IF(ISBLANK(C98),"",VLOOKUP(C98,ADMISSION!B:N,2,FALSE))</f>
        <v/>
      </c>
      <c r="E98" s="2" t="str">
        <f>IF(ISBLANK(C98),"",VLOOKUP(C98,ADMISSION!B:N,9,0))</f>
        <v/>
      </c>
      <c r="F98" s="2" t="str">
        <f>IF(ISBLANK(C98),"",VLOOKUP(C98,ADMISSION!B:N,10,))</f>
        <v/>
      </c>
      <c r="G98" s="91" t="str">
        <f t="shared" si="2"/>
        <v/>
      </c>
      <c r="H98" s="91" t="str">
        <f>IF(ISBLANK(C98),"",G98-SUMIF($C$1:C97,C98,$I$1:I97))</f>
        <v/>
      </c>
      <c r="J98" s="91" t="str">
        <f t="shared" si="3"/>
        <v/>
      </c>
      <c r="K98" s="94" t="str">
        <f>IF(ISBLANK(C98),"",SUMIF($C$1:C98,C98,$I$1:I98))</f>
        <v/>
      </c>
    </row>
    <row r="99" spans="1:11" x14ac:dyDescent="0.25">
      <c r="A99" s="130">
        <v>202425097</v>
      </c>
      <c r="D99" s="19" t="str">
        <f>IF(ISBLANK(C99),"",VLOOKUP(C99,ADMISSION!B:N,2,FALSE))</f>
        <v/>
      </c>
      <c r="E99" s="2" t="str">
        <f>IF(ISBLANK(C99),"",VLOOKUP(C99,ADMISSION!B:N,9,0))</f>
        <v/>
      </c>
      <c r="F99" s="2" t="str">
        <f>IF(ISBLANK(C99),"",VLOOKUP(C99,ADMISSION!B:N,10,))</f>
        <v/>
      </c>
      <c r="G99" s="91" t="str">
        <f t="shared" si="2"/>
        <v/>
      </c>
      <c r="H99" s="91" t="str">
        <f>IF(ISBLANK(C99),"",G99-SUMIF($C$1:C98,C99,$I$1:I98))</f>
        <v/>
      </c>
      <c r="J99" s="91" t="str">
        <f t="shared" si="3"/>
        <v/>
      </c>
      <c r="K99" s="94" t="str">
        <f>IF(ISBLANK(C99),"",SUMIF($C$1:C99,C99,$I$1:I99))</f>
        <v/>
      </c>
    </row>
    <row r="100" spans="1:11" x14ac:dyDescent="0.25">
      <c r="A100" s="130">
        <v>202425098</v>
      </c>
      <c r="D100" s="19" t="str">
        <f>IF(ISBLANK(C100),"",VLOOKUP(C100,ADMISSION!B:N,2,FALSE))</f>
        <v/>
      </c>
      <c r="E100" s="2" t="str">
        <f>IF(ISBLANK(C100),"",VLOOKUP(C100,ADMISSION!B:N,9,0))</f>
        <v/>
      </c>
      <c r="F100" s="2" t="str">
        <f>IF(ISBLANK(C100),"",VLOOKUP(C100,ADMISSION!B:N,10,))</f>
        <v/>
      </c>
      <c r="G100" s="91" t="str">
        <f t="shared" si="2"/>
        <v/>
      </c>
      <c r="H100" s="91" t="str">
        <f>IF(ISBLANK(C100),"",G100-SUMIF($C$1:C99,C100,$I$1:I99))</f>
        <v/>
      </c>
      <c r="J100" s="91" t="str">
        <f t="shared" si="3"/>
        <v/>
      </c>
      <c r="K100" s="94" t="str">
        <f>IF(ISBLANK(C100),"",SUMIF($C$1:C100,C100,$I$1:I100))</f>
        <v/>
      </c>
    </row>
    <row r="101" spans="1:11" x14ac:dyDescent="0.25">
      <c r="A101" s="130">
        <v>202425099</v>
      </c>
      <c r="D101" s="19" t="str">
        <f>IF(ISBLANK(C101),"",VLOOKUP(C101,ADMISSION!B:N,2,FALSE))</f>
        <v/>
      </c>
      <c r="E101" s="2" t="str">
        <f>IF(ISBLANK(C101),"",VLOOKUP(C101,ADMISSION!B:N,9,0))</f>
        <v/>
      </c>
      <c r="F101" s="2" t="str">
        <f>IF(ISBLANK(C101),"",VLOOKUP(C101,ADMISSION!B:N,10,))</f>
        <v/>
      </c>
      <c r="G101" s="91" t="str">
        <f t="shared" si="2"/>
        <v/>
      </c>
      <c r="H101" s="91" t="str">
        <f>IF(ISBLANK(C101),"",G101-SUMIF($C$1:C100,C101,$I$1:I100))</f>
        <v/>
      </c>
      <c r="J101" s="91" t="str">
        <f t="shared" si="3"/>
        <v/>
      </c>
      <c r="K101" s="94" t="str">
        <f>IF(ISBLANK(C101),"",SUMIF($C$1:C101,C101,$I$1:I101))</f>
        <v/>
      </c>
    </row>
    <row r="102" spans="1:11" x14ac:dyDescent="0.25">
      <c r="A102" s="130">
        <v>202425100</v>
      </c>
      <c r="D102" s="19" t="str">
        <f>IF(ISBLANK(C102),"",VLOOKUP(C102,ADMISSION!B:N,2,FALSE))</f>
        <v/>
      </c>
      <c r="E102" s="2" t="str">
        <f>IF(ISBLANK(C102),"",VLOOKUP(C102,ADMISSION!B:N,9,0))</f>
        <v/>
      </c>
      <c r="F102" s="2" t="str">
        <f>IF(ISBLANK(C102),"",VLOOKUP(C102,ADMISSION!B:N,10,))</f>
        <v/>
      </c>
      <c r="G102" s="91" t="str">
        <f t="shared" si="2"/>
        <v/>
      </c>
      <c r="H102" s="91" t="str">
        <f>IF(ISBLANK(C102),"",G102-SUMIF($C$1:C101,C102,$I$1:I101))</f>
        <v/>
      </c>
      <c r="J102" s="91" t="str">
        <f t="shared" si="3"/>
        <v/>
      </c>
      <c r="K102" s="94" t="str">
        <f>IF(ISBLANK(C102),"",SUMIF($C$1:C102,C102,$I$1:I102))</f>
        <v/>
      </c>
    </row>
    <row r="103" spans="1:11" x14ac:dyDescent="0.25">
      <c r="A103" s="130">
        <v>202425101</v>
      </c>
      <c r="D103" s="19" t="str">
        <f>IF(ISBLANK(C103),"",VLOOKUP(C103,ADMISSION!B:N,2,FALSE))</f>
        <v/>
      </c>
      <c r="E103" s="2" t="str">
        <f>IF(ISBLANK(C103),"",VLOOKUP(C103,ADMISSION!B:N,9,0))</f>
        <v/>
      </c>
      <c r="F103" s="2" t="str">
        <f>IF(ISBLANK(C103),"",VLOOKUP(C103,ADMISSION!B:N,10,))</f>
        <v/>
      </c>
      <c r="G103" s="91" t="str">
        <f t="shared" si="2"/>
        <v/>
      </c>
      <c r="H103" s="91" t="str">
        <f>IF(ISBLANK(C103),"",G103-SUMIF($C$1:C102,C103,$I$1:I102))</f>
        <v/>
      </c>
      <c r="J103" s="91" t="str">
        <f t="shared" si="3"/>
        <v/>
      </c>
      <c r="K103" s="94" t="str">
        <f>IF(ISBLANK(C103),"",SUMIF($C$1:C103,C103,$I$1:I103))</f>
        <v/>
      </c>
    </row>
    <row r="104" spans="1:11" x14ac:dyDescent="0.25">
      <c r="A104" s="130">
        <v>202425102</v>
      </c>
      <c r="D104" s="19" t="str">
        <f>IF(ISBLANK(C104),"",VLOOKUP(C104,ADMISSION!B:N,2,FALSE))</f>
        <v/>
      </c>
      <c r="E104" s="2" t="str">
        <f>IF(ISBLANK(C104),"",VLOOKUP(C104,ADMISSION!B:N,9,0))</f>
        <v/>
      </c>
      <c r="F104" s="2" t="str">
        <f>IF(ISBLANK(C104),"",VLOOKUP(C104,ADMISSION!B:N,10,))</f>
        <v/>
      </c>
      <c r="G104" s="91" t="str">
        <f t="shared" si="2"/>
        <v/>
      </c>
      <c r="H104" s="91" t="str">
        <f>IF(ISBLANK(C104),"",G104-SUMIF($C$1:C103,C104,$I$1:I103))</f>
        <v/>
      </c>
      <c r="J104" s="91" t="str">
        <f t="shared" si="3"/>
        <v/>
      </c>
      <c r="K104" s="94" t="str">
        <f>IF(ISBLANK(C104),"",SUMIF($C$1:C104,C104,$I$1:I104))</f>
        <v/>
      </c>
    </row>
    <row r="105" spans="1:11" x14ac:dyDescent="0.25">
      <c r="A105" s="130">
        <v>202425103</v>
      </c>
      <c r="D105" s="19" t="str">
        <f>IF(ISBLANK(C105),"",VLOOKUP(C105,ADMISSION!B:N,2,FALSE))</f>
        <v/>
      </c>
      <c r="E105" s="2" t="str">
        <f>IF(ISBLANK(C105),"",VLOOKUP(C105,ADMISSION!B:N,9,0))</f>
        <v/>
      </c>
      <c r="F105" s="2" t="str">
        <f>IF(ISBLANK(C105),"",VLOOKUP(C105,ADMISSION!B:N,10,))</f>
        <v/>
      </c>
      <c r="G105" s="91" t="str">
        <f t="shared" si="2"/>
        <v/>
      </c>
      <c r="H105" s="91" t="str">
        <f>IF(ISBLANK(C105),"",G105-SUMIF($C$1:C104,C105,$I$1:I104))</f>
        <v/>
      </c>
      <c r="J105" s="91" t="str">
        <f t="shared" si="3"/>
        <v/>
      </c>
      <c r="K105" s="94" t="str">
        <f>IF(ISBLANK(C105),"",SUMIF($C$1:C105,C105,$I$1:I105))</f>
        <v/>
      </c>
    </row>
    <row r="106" spans="1:11" x14ac:dyDescent="0.25">
      <c r="A106" s="130">
        <v>202425104</v>
      </c>
      <c r="D106" s="19" t="str">
        <f>IF(ISBLANK(C106),"",VLOOKUP(C106,ADMISSION!B:N,2,FALSE))</f>
        <v/>
      </c>
      <c r="E106" s="2" t="str">
        <f>IF(ISBLANK(C106),"",VLOOKUP(C106,ADMISSION!B:N,9,0))</f>
        <v/>
      </c>
      <c r="F106" s="2" t="str">
        <f>IF(ISBLANK(C106),"",VLOOKUP(C106,ADMISSION!B:N,10,))</f>
        <v/>
      </c>
      <c r="G106" s="91" t="str">
        <f t="shared" si="2"/>
        <v/>
      </c>
      <c r="H106" s="91" t="str">
        <f>IF(ISBLANK(C106),"",G106-SUMIF($C$1:C105,C106,$I$1:I105))</f>
        <v/>
      </c>
      <c r="J106" s="91" t="str">
        <f t="shared" si="3"/>
        <v/>
      </c>
      <c r="K106" s="94" t="str">
        <f>IF(ISBLANK(C106),"",SUMIF($C$1:C106,C106,$I$1:I106))</f>
        <v/>
      </c>
    </row>
    <row r="107" spans="1:11" x14ac:dyDescent="0.25">
      <c r="A107" s="130">
        <v>202425105</v>
      </c>
      <c r="D107" s="19" t="str">
        <f>IF(ISBLANK(C107),"",VLOOKUP(C107,ADMISSION!B:N,2,FALSE))</f>
        <v/>
      </c>
      <c r="E107" s="2" t="str">
        <f>IF(ISBLANK(C107),"",VLOOKUP(C107,ADMISSION!B:N,9,0))</f>
        <v/>
      </c>
      <c r="F107" s="2" t="str">
        <f>IF(ISBLANK(C107),"",VLOOKUP(C107,ADMISSION!B:N,10,))</f>
        <v/>
      </c>
      <c r="G107" s="91" t="str">
        <f t="shared" si="2"/>
        <v/>
      </c>
      <c r="H107" s="91" t="str">
        <f>IF(ISBLANK(C107),"",G107-SUMIF($C$1:C106,C107,$I$1:I106))</f>
        <v/>
      </c>
      <c r="J107" s="91" t="str">
        <f t="shared" si="3"/>
        <v/>
      </c>
      <c r="K107" s="94" t="str">
        <f>IF(ISBLANK(C107),"",SUMIF($C$1:C107,C107,$I$1:I107))</f>
        <v/>
      </c>
    </row>
    <row r="108" spans="1:11" x14ac:dyDescent="0.25">
      <c r="A108" s="130">
        <v>202425106</v>
      </c>
      <c r="D108" s="19" t="str">
        <f>IF(ISBLANK(C108),"",VLOOKUP(C108,ADMISSION!B:N,2,FALSE))</f>
        <v/>
      </c>
      <c r="E108" s="2" t="str">
        <f>IF(ISBLANK(C108),"",VLOOKUP(C108,ADMISSION!B:N,9,0))</f>
        <v/>
      </c>
      <c r="F108" s="2" t="str">
        <f>IF(ISBLANK(C108),"",VLOOKUP(C108,ADMISSION!B:N,10,))</f>
        <v/>
      </c>
      <c r="G108" s="91" t="str">
        <f t="shared" si="2"/>
        <v/>
      </c>
      <c r="H108" s="91" t="str">
        <f>IF(ISBLANK(C108),"",G108-SUMIF($C$1:C107,C108,$I$1:I107))</f>
        <v/>
      </c>
      <c r="J108" s="91" t="str">
        <f t="shared" si="3"/>
        <v/>
      </c>
      <c r="K108" s="94" t="str">
        <f>IF(ISBLANK(C108),"",SUMIF($C$1:C108,C108,$I$1:I108))</f>
        <v/>
      </c>
    </row>
    <row r="109" spans="1:11" x14ac:dyDescent="0.25">
      <c r="A109" s="130">
        <v>202425107</v>
      </c>
      <c r="D109" s="19" t="str">
        <f>IF(ISBLANK(C109),"",VLOOKUP(C109,ADMISSION!B:N,2,FALSE))</f>
        <v/>
      </c>
      <c r="E109" s="2" t="str">
        <f>IF(ISBLANK(C109),"",VLOOKUP(C109,ADMISSION!B:N,9,0))</f>
        <v/>
      </c>
      <c r="F109" s="2" t="str">
        <f>IF(ISBLANK(C109),"",VLOOKUP(C109,ADMISSION!B:N,10,))</f>
        <v/>
      </c>
      <c r="G109" s="91" t="str">
        <f t="shared" si="2"/>
        <v/>
      </c>
      <c r="H109" s="91" t="str">
        <f>IF(ISBLANK(C109),"",G109-SUMIF($C$1:C108,C109,$I$1:I108))</f>
        <v/>
      </c>
      <c r="J109" s="91" t="str">
        <f t="shared" si="3"/>
        <v/>
      </c>
      <c r="K109" s="94" t="str">
        <f>IF(ISBLANK(C109),"",SUMIF($C$1:C109,C109,$I$1:I109))</f>
        <v/>
      </c>
    </row>
    <row r="110" spans="1:11" x14ac:dyDescent="0.25">
      <c r="A110" s="130">
        <v>202425108</v>
      </c>
      <c r="D110" s="19" t="str">
        <f>IF(ISBLANK(C110),"",VLOOKUP(C110,ADMISSION!B:N,2,FALSE))</f>
        <v/>
      </c>
      <c r="E110" s="2" t="str">
        <f>IF(ISBLANK(C110),"",VLOOKUP(C110,ADMISSION!B:N,9,0))</f>
        <v/>
      </c>
      <c r="F110" s="2" t="str">
        <f>IF(ISBLANK(C110),"",VLOOKUP(C110,ADMISSION!B:N,10,))</f>
        <v/>
      </c>
      <c r="G110" s="91" t="str">
        <f t="shared" si="2"/>
        <v/>
      </c>
      <c r="H110" s="91" t="str">
        <f>IF(ISBLANK(C110),"",G110-SUMIF($C$1:C109,C110,$I$1:I109))</f>
        <v/>
      </c>
      <c r="J110" s="91" t="str">
        <f t="shared" si="3"/>
        <v/>
      </c>
      <c r="K110" s="94" t="str">
        <f>IF(ISBLANK(C110),"",SUMIF($C$1:C110,C110,$I$1:I110))</f>
        <v/>
      </c>
    </row>
    <row r="111" spans="1:11" x14ac:dyDescent="0.25">
      <c r="A111" s="130">
        <v>202425109</v>
      </c>
      <c r="D111" s="19" t="str">
        <f>IF(ISBLANK(C111),"",VLOOKUP(C111,ADMISSION!B:N,2,FALSE))</f>
        <v/>
      </c>
      <c r="E111" s="2" t="str">
        <f>IF(ISBLANK(C111),"",VLOOKUP(C111,ADMISSION!B:N,9,0))</f>
        <v/>
      </c>
      <c r="F111" s="2" t="str">
        <f>IF(ISBLANK(C111),"",VLOOKUP(C111,ADMISSION!B:N,10,))</f>
        <v/>
      </c>
      <c r="G111" s="91" t="str">
        <f t="shared" si="2"/>
        <v/>
      </c>
      <c r="H111" s="91" t="str">
        <f>IF(ISBLANK(C111),"",G111-SUMIF($C$1:C110,C111,$I$1:I110))</f>
        <v/>
      </c>
      <c r="J111" s="91" t="str">
        <f t="shared" si="3"/>
        <v/>
      </c>
      <c r="K111" s="94" t="str">
        <f>IF(ISBLANK(C111),"",SUMIF($C$1:C111,C111,$I$1:I111))</f>
        <v/>
      </c>
    </row>
    <row r="112" spans="1:11" x14ac:dyDescent="0.25">
      <c r="A112" s="130">
        <v>202425110</v>
      </c>
      <c r="D112" s="19" t="str">
        <f>IF(ISBLANK(C112),"",VLOOKUP(C112,ADMISSION!B:N,2,FALSE))</f>
        <v/>
      </c>
      <c r="E112" s="2" t="str">
        <f>IF(ISBLANK(C112),"",VLOOKUP(C112,ADMISSION!B:N,9,0))</f>
        <v/>
      </c>
      <c r="F112" s="2" t="str">
        <f>IF(ISBLANK(C112),"",VLOOKUP(C112,ADMISSION!B:N,10,))</f>
        <v/>
      </c>
      <c r="G112" s="91" t="str">
        <f t="shared" si="2"/>
        <v/>
      </c>
      <c r="H112" s="91" t="str">
        <f>IF(ISBLANK(C112),"",G112-SUMIF($C$1:C111,C112,$I$1:I111))</f>
        <v/>
      </c>
      <c r="J112" s="91" t="str">
        <f t="shared" si="3"/>
        <v/>
      </c>
      <c r="K112" s="94" t="str">
        <f>IF(ISBLANK(C112),"",SUMIF($C$1:C112,C112,$I$1:I112))</f>
        <v/>
      </c>
    </row>
    <row r="113" spans="1:11" x14ac:dyDescent="0.25">
      <c r="A113" s="130">
        <v>202425111</v>
      </c>
      <c r="D113" s="19" t="str">
        <f>IF(ISBLANK(C113),"",VLOOKUP(C113,ADMISSION!B:N,2,FALSE))</f>
        <v/>
      </c>
      <c r="E113" s="2" t="str">
        <f>IF(ISBLANK(C113),"",VLOOKUP(C113,ADMISSION!B:N,9,0))</f>
        <v/>
      </c>
      <c r="F113" s="2" t="str">
        <f>IF(ISBLANK(C113),"",VLOOKUP(C113,ADMISSION!B:N,10,))</f>
        <v/>
      </c>
      <c r="G113" s="91" t="str">
        <f t="shared" si="2"/>
        <v/>
      </c>
      <c r="H113" s="91" t="str">
        <f>IF(ISBLANK(C113),"",G113-SUMIF($C$1:C112,C113,$I$1:I112))</f>
        <v/>
      </c>
      <c r="J113" s="91" t="str">
        <f t="shared" si="3"/>
        <v/>
      </c>
      <c r="K113" s="94" t="str">
        <f>IF(ISBLANK(C113),"",SUMIF($C$1:C113,C113,$I$1:I113))</f>
        <v/>
      </c>
    </row>
    <row r="114" spans="1:11" x14ac:dyDescent="0.25">
      <c r="A114" s="130">
        <v>202425112</v>
      </c>
      <c r="D114" s="19" t="str">
        <f>IF(ISBLANK(C114),"",VLOOKUP(C114,ADMISSION!B:N,2,FALSE))</f>
        <v/>
      </c>
      <c r="E114" s="2" t="str">
        <f>IF(ISBLANK(C114),"",VLOOKUP(C114,ADMISSION!B:N,9,0))</f>
        <v/>
      </c>
      <c r="F114" s="2" t="str">
        <f>IF(ISBLANK(C114),"",VLOOKUP(C114,ADMISSION!B:N,10,))</f>
        <v/>
      </c>
      <c r="G114" s="91" t="str">
        <f t="shared" si="2"/>
        <v/>
      </c>
      <c r="H114" s="91" t="str">
        <f>IF(ISBLANK(C114),"",G114-SUMIF($C$1:C113,C114,$I$1:I113))</f>
        <v/>
      </c>
      <c r="J114" s="91" t="str">
        <f t="shared" si="3"/>
        <v/>
      </c>
      <c r="K114" s="94" t="str">
        <f>IF(ISBLANK(C114),"",SUMIF($C$1:C114,C114,$I$1:I114))</f>
        <v/>
      </c>
    </row>
    <row r="115" spans="1:11" x14ac:dyDescent="0.25">
      <c r="A115" s="130">
        <v>202425113</v>
      </c>
      <c r="D115" s="19" t="str">
        <f>IF(ISBLANK(C115),"",VLOOKUP(C115,ADMISSION!B:N,2,FALSE))</f>
        <v/>
      </c>
      <c r="E115" s="2" t="str">
        <f>IF(ISBLANK(C115),"",VLOOKUP(C115,ADMISSION!B:N,9,0))</f>
        <v/>
      </c>
      <c r="F115" s="2" t="str">
        <f>IF(ISBLANK(C115),"",VLOOKUP(C115,ADMISSION!B:N,10,))</f>
        <v/>
      </c>
      <c r="G115" s="91" t="str">
        <f t="shared" si="2"/>
        <v/>
      </c>
      <c r="H115" s="91" t="str">
        <f>IF(ISBLANK(C115),"",G115-SUMIF($C$1:C114,C115,$I$1:I114))</f>
        <v/>
      </c>
      <c r="J115" s="91" t="str">
        <f t="shared" si="3"/>
        <v/>
      </c>
      <c r="K115" s="94" t="str">
        <f>IF(ISBLANK(C115),"",SUMIF($C$1:C115,C115,$I$1:I115))</f>
        <v/>
      </c>
    </row>
    <row r="116" spans="1:11" x14ac:dyDescent="0.25">
      <c r="A116" s="130">
        <v>202425114</v>
      </c>
      <c r="D116" s="19" t="str">
        <f>IF(ISBLANK(C116),"",VLOOKUP(C116,ADMISSION!B:N,2,FALSE))</f>
        <v/>
      </c>
      <c r="E116" s="2" t="str">
        <f>IF(ISBLANK(C116),"",VLOOKUP(C116,ADMISSION!B:N,9,0))</f>
        <v/>
      </c>
      <c r="F116" s="2" t="str">
        <f>IF(ISBLANK(C116),"",VLOOKUP(C116,ADMISSION!B:N,10,))</f>
        <v/>
      </c>
      <c r="G116" s="91" t="str">
        <f t="shared" si="2"/>
        <v/>
      </c>
      <c r="H116" s="91" t="str">
        <f>IF(ISBLANK(C116),"",G116-SUMIF($C$1:C115,C116,$I$1:I115))</f>
        <v/>
      </c>
      <c r="J116" s="91" t="str">
        <f t="shared" si="3"/>
        <v/>
      </c>
      <c r="K116" s="94" t="str">
        <f>IF(ISBLANK(C116),"",SUMIF($C$1:C116,C116,$I$1:I116))</f>
        <v/>
      </c>
    </row>
    <row r="117" spans="1:11" x14ac:dyDescent="0.25">
      <c r="A117" s="130">
        <v>202425115</v>
      </c>
      <c r="D117" s="19" t="str">
        <f>IF(ISBLANK(C117),"",VLOOKUP(C117,ADMISSION!B:N,2,FALSE))</f>
        <v/>
      </c>
      <c r="E117" s="2" t="str">
        <f>IF(ISBLANK(C117),"",VLOOKUP(C117,ADMISSION!B:N,9,0))</f>
        <v/>
      </c>
      <c r="F117" s="2" t="str">
        <f>IF(ISBLANK(C117),"",VLOOKUP(C117,ADMISSION!B:N,10,))</f>
        <v/>
      </c>
      <c r="G117" s="91" t="str">
        <f t="shared" si="2"/>
        <v/>
      </c>
      <c r="H117" s="91" t="str">
        <f>IF(ISBLANK(C117),"",G117-SUMIF($C$1:C116,C117,$I$1:I116))</f>
        <v/>
      </c>
      <c r="J117" s="91" t="str">
        <f t="shared" si="3"/>
        <v/>
      </c>
      <c r="K117" s="94" t="str">
        <f>IF(ISBLANK(C117),"",SUMIF($C$1:C117,C117,$I$1:I117))</f>
        <v/>
      </c>
    </row>
    <row r="118" spans="1:11" x14ac:dyDescent="0.25">
      <c r="A118" s="130">
        <v>202425116</v>
      </c>
      <c r="D118" s="19" t="str">
        <f>IF(ISBLANK(C118),"",VLOOKUP(C118,ADMISSION!B:N,2,FALSE))</f>
        <v/>
      </c>
      <c r="E118" s="2" t="str">
        <f>IF(ISBLANK(C118),"",VLOOKUP(C118,ADMISSION!B:N,9,0))</f>
        <v/>
      </c>
      <c r="F118" s="2" t="str">
        <f>IF(ISBLANK(C118),"",VLOOKUP(C118,ADMISSION!B:N,10,))</f>
        <v/>
      </c>
      <c r="G118" s="91" t="str">
        <f t="shared" si="2"/>
        <v/>
      </c>
      <c r="H118" s="91" t="str">
        <f>IF(ISBLANK(C118),"",G118-SUMIF($C$1:C117,C118,$I$1:I117))</f>
        <v/>
      </c>
      <c r="J118" s="91" t="str">
        <f t="shared" si="3"/>
        <v/>
      </c>
      <c r="K118" s="94" t="str">
        <f>IF(ISBLANK(C118),"",SUMIF($C$1:C118,C118,$I$1:I118))</f>
        <v/>
      </c>
    </row>
    <row r="119" spans="1:11" x14ac:dyDescent="0.25">
      <c r="A119" s="130">
        <v>202425117</v>
      </c>
      <c r="D119" s="19" t="str">
        <f>IF(ISBLANK(C119),"",VLOOKUP(C119,ADMISSION!B:N,2,FALSE))</f>
        <v/>
      </c>
      <c r="E119" s="2" t="str">
        <f>IF(ISBLANK(C119),"",VLOOKUP(C119,ADMISSION!B:N,9,0))</f>
        <v/>
      </c>
      <c r="F119" s="2" t="str">
        <f>IF(ISBLANK(C119),"",VLOOKUP(C119,ADMISSION!B:N,10,))</f>
        <v/>
      </c>
      <c r="G119" s="91" t="str">
        <f t="shared" si="2"/>
        <v/>
      </c>
      <c r="H119" s="91" t="str">
        <f>IF(ISBLANK(C119),"",G119-SUMIF($C$1:C118,C119,$I$1:I118))</f>
        <v/>
      </c>
      <c r="J119" s="91" t="str">
        <f t="shared" si="3"/>
        <v/>
      </c>
      <c r="K119" s="94" t="str">
        <f>IF(ISBLANK(C119),"",SUMIF($C$1:C119,C119,$I$1:I119))</f>
        <v/>
      </c>
    </row>
    <row r="120" spans="1:11" x14ac:dyDescent="0.25">
      <c r="A120" s="130">
        <v>202425118</v>
      </c>
      <c r="D120" s="19" t="str">
        <f>IF(ISBLANK(C120),"",VLOOKUP(C120,ADMISSION!B:N,2,FALSE))</f>
        <v/>
      </c>
      <c r="E120" s="2" t="str">
        <f>IF(ISBLANK(C120),"",VLOOKUP(C120,ADMISSION!B:N,9,0))</f>
        <v/>
      </c>
      <c r="F120" s="2" t="str">
        <f>IF(ISBLANK(C120),"",VLOOKUP(C120,ADMISSION!B:N,10,))</f>
        <v/>
      </c>
      <c r="G120" s="91" t="str">
        <f t="shared" si="2"/>
        <v/>
      </c>
      <c r="H120" s="91" t="str">
        <f>IF(ISBLANK(C120),"",G120-SUMIF($C$1:C119,C120,$I$1:I119))</f>
        <v/>
      </c>
      <c r="J120" s="91" t="str">
        <f t="shared" si="3"/>
        <v/>
      </c>
      <c r="K120" s="94" t="str">
        <f>IF(ISBLANK(C120),"",SUMIF($C$1:C120,C120,$I$1:I120))</f>
        <v/>
      </c>
    </row>
    <row r="121" spans="1:11" x14ac:dyDescent="0.25">
      <c r="A121" s="130">
        <v>202425119</v>
      </c>
      <c r="D121" s="19" t="str">
        <f>IF(ISBLANK(C121),"",VLOOKUP(C121,ADMISSION!B:N,2,FALSE))</f>
        <v/>
      </c>
      <c r="E121" s="2" t="str">
        <f>IF(ISBLANK(C121),"",VLOOKUP(C121,ADMISSION!B:N,9,0))</f>
        <v/>
      </c>
      <c r="F121" s="2" t="str">
        <f>IF(ISBLANK(C121),"",VLOOKUP(C121,ADMISSION!B:N,10,))</f>
        <v/>
      </c>
      <c r="G121" s="91" t="str">
        <f t="shared" si="2"/>
        <v/>
      </c>
      <c r="H121" s="91" t="str">
        <f>IF(ISBLANK(C121),"",G121-SUMIF($C$1:C120,C121,$I$1:I120))</f>
        <v/>
      </c>
      <c r="J121" s="91" t="str">
        <f t="shared" si="3"/>
        <v/>
      </c>
      <c r="K121" s="94" t="str">
        <f>IF(ISBLANK(C121),"",SUMIF($C$1:C121,C121,$I$1:I121))</f>
        <v/>
      </c>
    </row>
    <row r="122" spans="1:11" x14ac:dyDescent="0.25">
      <c r="A122" s="130">
        <v>202425120</v>
      </c>
      <c r="D122" s="19" t="str">
        <f>IF(ISBLANK(C122),"",VLOOKUP(C122,ADMISSION!B:N,2,FALSE))</f>
        <v/>
      </c>
      <c r="E122" s="2" t="str">
        <f>IF(ISBLANK(C122),"",VLOOKUP(C122,ADMISSION!B:N,9,0))</f>
        <v/>
      </c>
      <c r="F122" s="2" t="str">
        <f>IF(ISBLANK(C122),"",VLOOKUP(C122,ADMISSION!B:N,10,))</f>
        <v/>
      </c>
      <c r="G122" s="91" t="str">
        <f t="shared" si="2"/>
        <v/>
      </c>
      <c r="H122" s="91" t="str">
        <f>IF(ISBLANK(C122),"",G122-SUMIF($C$1:C121,C122,$I$1:I121))</f>
        <v/>
      </c>
      <c r="J122" s="91" t="str">
        <f t="shared" si="3"/>
        <v/>
      </c>
      <c r="K122" s="94" t="str">
        <f>IF(ISBLANK(C122),"",SUMIF($C$1:C122,C122,$I$1:I122))</f>
        <v/>
      </c>
    </row>
    <row r="123" spans="1:11" x14ac:dyDescent="0.25">
      <c r="A123" s="130">
        <v>202425121</v>
      </c>
      <c r="D123" s="19" t="str">
        <f>IF(ISBLANK(C123),"",VLOOKUP(C123,ADMISSION!B:N,2,FALSE))</f>
        <v/>
      </c>
      <c r="E123" s="2" t="str">
        <f>IF(ISBLANK(C123),"",VLOOKUP(C123,ADMISSION!B:N,9,0))</f>
        <v/>
      </c>
      <c r="F123" s="2" t="str">
        <f>IF(ISBLANK(C123),"",VLOOKUP(C123,ADMISSION!B:N,10,))</f>
        <v/>
      </c>
      <c r="G123" s="91" t="str">
        <f t="shared" si="2"/>
        <v/>
      </c>
      <c r="H123" s="91" t="str">
        <f>IF(ISBLANK(C123),"",G123-SUMIF($C$1:C122,C123,$I$1:I122))</f>
        <v/>
      </c>
      <c r="J123" s="91" t="str">
        <f t="shared" si="3"/>
        <v/>
      </c>
      <c r="K123" s="94" t="str">
        <f>IF(ISBLANK(C123),"",SUMIF($C$1:C123,C123,$I$1:I123))</f>
        <v/>
      </c>
    </row>
    <row r="124" spans="1:11" x14ac:dyDescent="0.25">
      <c r="A124" s="130">
        <v>202425122</v>
      </c>
      <c r="D124" s="19" t="str">
        <f>IF(ISBLANK(C124),"",VLOOKUP(C124,ADMISSION!B:N,2,FALSE))</f>
        <v/>
      </c>
      <c r="E124" s="2" t="str">
        <f>IF(ISBLANK(C124),"",VLOOKUP(C124,ADMISSION!B:N,9,0))</f>
        <v/>
      </c>
      <c r="F124" s="2" t="str">
        <f>IF(ISBLANK(C124),"",VLOOKUP(C124,ADMISSION!B:N,10,))</f>
        <v/>
      </c>
      <c r="G124" s="91" t="str">
        <f t="shared" si="2"/>
        <v/>
      </c>
      <c r="H124" s="91" t="str">
        <f>IF(ISBLANK(C124),"",G124-SUMIF($C$1:C123,C124,$I$1:I123))</f>
        <v/>
      </c>
      <c r="J124" s="91" t="str">
        <f t="shared" si="3"/>
        <v/>
      </c>
      <c r="K124" s="94" t="str">
        <f>IF(ISBLANK(C124),"",SUMIF($C$1:C124,C124,$I$1:I124))</f>
        <v/>
      </c>
    </row>
    <row r="125" spans="1:11" x14ac:dyDescent="0.25">
      <c r="A125" s="130">
        <v>202425123</v>
      </c>
      <c r="D125" s="19" t="str">
        <f>IF(ISBLANK(C125),"",VLOOKUP(C125,ADMISSION!B:N,2,FALSE))</f>
        <v/>
      </c>
      <c r="E125" s="2" t="str">
        <f>IF(ISBLANK(C125),"",VLOOKUP(C125,ADMISSION!B:N,9,0))</f>
        <v/>
      </c>
      <c r="F125" s="2" t="str">
        <f>IF(ISBLANK(C125),"",VLOOKUP(C125,ADMISSION!B:N,10,))</f>
        <v/>
      </c>
      <c r="G125" s="91" t="str">
        <f t="shared" si="2"/>
        <v/>
      </c>
      <c r="H125" s="91" t="str">
        <f>IF(ISBLANK(C125),"",G125-SUMIF($C$1:C124,C125,$I$1:I124))</f>
        <v/>
      </c>
      <c r="J125" s="91" t="str">
        <f t="shared" si="3"/>
        <v/>
      </c>
      <c r="K125" s="94" t="str">
        <f>IF(ISBLANK(C125),"",SUMIF($C$1:C125,C125,$I$1:I125))</f>
        <v/>
      </c>
    </row>
    <row r="126" spans="1:11" x14ac:dyDescent="0.25">
      <c r="A126" s="130">
        <v>202425124</v>
      </c>
      <c r="D126" s="19" t="str">
        <f>IF(ISBLANK(C126),"",VLOOKUP(C126,ADMISSION!B:N,2,FALSE))</f>
        <v/>
      </c>
      <c r="E126" s="2" t="str">
        <f>IF(ISBLANK(C126),"",VLOOKUP(C126,ADMISSION!B:N,9,0))</f>
        <v/>
      </c>
      <c r="F126" s="2" t="str">
        <f>IF(ISBLANK(C126),"",VLOOKUP(C126,ADMISSION!B:N,10,))</f>
        <v/>
      </c>
      <c r="G126" s="91" t="str">
        <f t="shared" si="2"/>
        <v/>
      </c>
      <c r="H126" s="91" t="str">
        <f>IF(ISBLANK(C126),"",G126-SUMIF($C$1:C125,C126,$I$1:I125))</f>
        <v/>
      </c>
      <c r="J126" s="91" t="str">
        <f t="shared" si="3"/>
        <v/>
      </c>
      <c r="K126" s="94" t="str">
        <f>IF(ISBLANK(C126),"",SUMIF($C$1:C126,C126,$I$1:I126))</f>
        <v/>
      </c>
    </row>
    <row r="127" spans="1:11" x14ac:dyDescent="0.25">
      <c r="A127" s="130">
        <v>202425125</v>
      </c>
      <c r="D127" s="19" t="str">
        <f>IF(ISBLANK(C127),"",VLOOKUP(C127,ADMISSION!B:N,2,FALSE))</f>
        <v/>
      </c>
      <c r="E127" s="2" t="str">
        <f>IF(ISBLANK(C127),"",VLOOKUP(C127,ADMISSION!B:N,9,0))</f>
        <v/>
      </c>
      <c r="F127" s="2" t="str">
        <f>IF(ISBLANK(C127),"",VLOOKUP(C127,ADMISSION!B:N,10,))</f>
        <v/>
      </c>
      <c r="G127" s="91" t="str">
        <f t="shared" si="2"/>
        <v/>
      </c>
      <c r="H127" s="91" t="str">
        <f>IF(ISBLANK(C127),"",G127-SUMIF($C$1:C126,C127,$I$1:I126))</f>
        <v/>
      </c>
      <c r="J127" s="91" t="str">
        <f t="shared" si="3"/>
        <v/>
      </c>
      <c r="K127" s="94" t="str">
        <f>IF(ISBLANK(C127),"",SUMIF($C$1:C127,C127,$I$1:I127))</f>
        <v/>
      </c>
    </row>
    <row r="128" spans="1:11" x14ac:dyDescent="0.25">
      <c r="A128" s="130">
        <v>202425126</v>
      </c>
      <c r="D128" s="19" t="str">
        <f>IF(ISBLANK(C128),"",VLOOKUP(C128,ADMISSION!B:N,2,FALSE))</f>
        <v/>
      </c>
      <c r="E128" s="2" t="str">
        <f>IF(ISBLANK(C128),"",VLOOKUP(C128,ADMISSION!B:N,9,0))</f>
        <v/>
      </c>
      <c r="F128" s="2" t="str">
        <f>IF(ISBLANK(C128),"",VLOOKUP(C128,ADMISSION!B:N,10,))</f>
        <v/>
      </c>
      <c r="G128" s="91" t="str">
        <f t="shared" si="2"/>
        <v/>
      </c>
      <c r="H128" s="91" t="str">
        <f>IF(ISBLANK(C128),"",G128-SUMIF($C$1:C127,C128,$I$1:I127))</f>
        <v/>
      </c>
      <c r="J128" s="91" t="str">
        <f t="shared" si="3"/>
        <v/>
      </c>
      <c r="K128" s="94" t="str">
        <f>IF(ISBLANK(C128),"",SUMIF($C$1:C128,C128,$I$1:I128))</f>
        <v/>
      </c>
    </row>
    <row r="129" spans="1:11" x14ac:dyDescent="0.25">
      <c r="A129" s="130">
        <v>202425127</v>
      </c>
      <c r="D129" s="19" t="str">
        <f>IF(ISBLANK(C129),"",VLOOKUP(C129,ADMISSION!B:N,2,FALSE))</f>
        <v/>
      </c>
      <c r="E129" s="2" t="str">
        <f>IF(ISBLANK(C129),"",VLOOKUP(C129,ADMISSION!B:N,9,0))</f>
        <v/>
      </c>
      <c r="F129" s="2" t="str">
        <f>IF(ISBLANK(C129),"",VLOOKUP(C129,ADMISSION!B:N,10,))</f>
        <v/>
      </c>
      <c r="G129" s="91" t="str">
        <f t="shared" si="2"/>
        <v/>
      </c>
      <c r="H129" s="91" t="str">
        <f>IF(ISBLANK(C129),"",G129-SUMIF($C$1:C128,C129,$I$1:I128))</f>
        <v/>
      </c>
      <c r="J129" s="91" t="str">
        <f t="shared" si="3"/>
        <v/>
      </c>
      <c r="K129" s="94" t="str">
        <f>IF(ISBLANK(C129),"",SUMIF($C$1:C129,C129,$I$1:I129))</f>
        <v/>
      </c>
    </row>
    <row r="130" spans="1:11" x14ac:dyDescent="0.25">
      <c r="A130" s="130">
        <v>202425128</v>
      </c>
      <c r="D130" s="19" t="str">
        <f>IF(ISBLANK(C130),"",VLOOKUP(C130,ADMISSION!B:N,2,FALSE))</f>
        <v/>
      </c>
      <c r="E130" s="2" t="str">
        <f>IF(ISBLANK(C130),"",VLOOKUP(C130,ADMISSION!B:N,9,0))</f>
        <v/>
      </c>
      <c r="F130" s="2" t="str">
        <f>IF(ISBLANK(C130),"",VLOOKUP(C130,ADMISSION!B:N,10,))</f>
        <v/>
      </c>
      <c r="G130" s="91" t="str">
        <f t="shared" si="2"/>
        <v/>
      </c>
      <c r="H130" s="91" t="str">
        <f>IF(ISBLANK(C130),"",G130-SUMIF($C$1:C129,C130,$I$1:I129))</f>
        <v/>
      </c>
      <c r="J130" s="91" t="str">
        <f t="shared" si="3"/>
        <v/>
      </c>
      <c r="K130" s="94" t="str">
        <f>IF(ISBLANK(C130),"",SUMIF($C$1:C130,C130,$I$1:I130))</f>
        <v/>
      </c>
    </row>
    <row r="131" spans="1:11" x14ac:dyDescent="0.25">
      <c r="A131" s="130">
        <v>202425129</v>
      </c>
      <c r="D131" s="19" t="str">
        <f>IF(ISBLANK(C131),"",VLOOKUP(C131,ADMISSION!B:N,2,FALSE))</f>
        <v/>
      </c>
      <c r="E131" s="2" t="str">
        <f>IF(ISBLANK(C131),"",VLOOKUP(C131,ADMISSION!B:N,9,0))</f>
        <v/>
      </c>
      <c r="F131" s="2" t="str">
        <f>IF(ISBLANK(C131),"",VLOOKUP(C131,ADMISSION!B:N,10,))</f>
        <v/>
      </c>
      <c r="G131" s="91" t="str">
        <f t="shared" si="2"/>
        <v/>
      </c>
      <c r="H131" s="91" t="str">
        <f>IF(ISBLANK(C131),"",G131-SUMIF($C$1:C130,C131,$I$1:I130))</f>
        <v/>
      </c>
      <c r="J131" s="91" t="str">
        <f t="shared" si="3"/>
        <v/>
      </c>
      <c r="K131" s="94" t="str">
        <f>IF(ISBLANK(C131),"",SUMIF($C$1:C131,C131,$I$1:I131))</f>
        <v/>
      </c>
    </row>
    <row r="132" spans="1:11" x14ac:dyDescent="0.25">
      <c r="A132" s="130">
        <v>202425130</v>
      </c>
      <c r="D132" s="19" t="str">
        <f>IF(ISBLANK(C132),"",VLOOKUP(C132,ADMISSION!B:N,2,FALSE))</f>
        <v/>
      </c>
      <c r="E132" s="2" t="str">
        <f>IF(ISBLANK(C132),"",VLOOKUP(C132,ADMISSION!B:N,9,0))</f>
        <v/>
      </c>
      <c r="F132" s="2" t="str">
        <f>IF(ISBLANK(C132),"",VLOOKUP(C132,ADMISSION!B:N,10,))</f>
        <v/>
      </c>
      <c r="G132" s="91" t="str">
        <f t="shared" ref="G132:G195" si="4">IF(ISBLANK(C132),"",E132-F132)</f>
        <v/>
      </c>
      <c r="H132" s="91" t="str">
        <f>IF(ISBLANK(C132),"",G132-SUMIF($C$1:C131,C132,$I$1:I131))</f>
        <v/>
      </c>
      <c r="J132" s="91" t="str">
        <f t="shared" ref="J132:J195" si="5">IF(ISBLANK(C132),"",G132-K132)</f>
        <v/>
      </c>
      <c r="K132" s="94" t="str">
        <f>IF(ISBLANK(C132),"",SUMIF($C$1:C132,C132,$I$1:I132))</f>
        <v/>
      </c>
    </row>
    <row r="133" spans="1:11" x14ac:dyDescent="0.25">
      <c r="A133" s="130">
        <v>202425131</v>
      </c>
      <c r="D133" s="19" t="str">
        <f>IF(ISBLANK(C133),"",VLOOKUP(C133,ADMISSION!B:N,2,FALSE))</f>
        <v/>
      </c>
      <c r="E133" s="2" t="str">
        <f>IF(ISBLANK(C133),"",VLOOKUP(C133,ADMISSION!B:N,9,0))</f>
        <v/>
      </c>
      <c r="F133" s="2" t="str">
        <f>IF(ISBLANK(C133),"",VLOOKUP(C133,ADMISSION!B:N,10,))</f>
        <v/>
      </c>
      <c r="G133" s="91" t="str">
        <f t="shared" si="4"/>
        <v/>
      </c>
      <c r="H133" s="91" t="str">
        <f>IF(ISBLANK(C133),"",G133-SUMIF($C$1:C132,C133,$I$1:I132))</f>
        <v/>
      </c>
      <c r="J133" s="91" t="str">
        <f t="shared" si="5"/>
        <v/>
      </c>
      <c r="K133" s="94" t="str">
        <f>IF(ISBLANK(C133),"",SUMIF($C$1:C133,C133,$I$1:I133))</f>
        <v/>
      </c>
    </row>
    <row r="134" spans="1:11" x14ac:dyDescent="0.25">
      <c r="A134" s="130">
        <v>202425132</v>
      </c>
      <c r="D134" s="19" t="str">
        <f>IF(ISBLANK(C134),"",VLOOKUP(C134,ADMISSION!B:N,2,FALSE))</f>
        <v/>
      </c>
      <c r="E134" s="2" t="str">
        <f>IF(ISBLANK(C134),"",VLOOKUP(C134,ADMISSION!B:N,9,0))</f>
        <v/>
      </c>
      <c r="F134" s="2" t="str">
        <f>IF(ISBLANK(C134),"",VLOOKUP(C134,ADMISSION!B:N,10,))</f>
        <v/>
      </c>
      <c r="G134" s="91" t="str">
        <f t="shared" si="4"/>
        <v/>
      </c>
      <c r="H134" s="91" t="str">
        <f>IF(ISBLANK(C134),"",G134-SUMIF($C$1:C133,C134,$I$1:I133))</f>
        <v/>
      </c>
      <c r="J134" s="91" t="str">
        <f t="shared" si="5"/>
        <v/>
      </c>
      <c r="K134" s="94" t="str">
        <f>IF(ISBLANK(C134),"",SUMIF($C$1:C134,C134,$I$1:I134))</f>
        <v/>
      </c>
    </row>
    <row r="135" spans="1:11" x14ac:dyDescent="0.25">
      <c r="A135" s="130">
        <v>202425133</v>
      </c>
      <c r="D135" s="19" t="str">
        <f>IF(ISBLANK(C135),"",VLOOKUP(C135,ADMISSION!B:N,2,FALSE))</f>
        <v/>
      </c>
      <c r="E135" s="2" t="str">
        <f>IF(ISBLANK(C135),"",VLOOKUP(C135,ADMISSION!B:N,9,0))</f>
        <v/>
      </c>
      <c r="F135" s="2" t="str">
        <f>IF(ISBLANK(C135),"",VLOOKUP(C135,ADMISSION!B:N,10,))</f>
        <v/>
      </c>
      <c r="G135" s="91" t="str">
        <f t="shared" si="4"/>
        <v/>
      </c>
      <c r="H135" s="91" t="str">
        <f>IF(ISBLANK(C135),"",G135-SUMIF($C$1:C134,C135,$I$1:I134))</f>
        <v/>
      </c>
      <c r="J135" s="91" t="str">
        <f t="shared" si="5"/>
        <v/>
      </c>
      <c r="K135" s="94" t="str">
        <f>IF(ISBLANK(C135),"",SUMIF($C$1:C135,C135,$I$1:I135))</f>
        <v/>
      </c>
    </row>
    <row r="136" spans="1:11" x14ac:dyDescent="0.25">
      <c r="A136" s="130">
        <v>202425134</v>
      </c>
      <c r="D136" s="19" t="str">
        <f>IF(ISBLANK(C136),"",VLOOKUP(C136,ADMISSION!B:N,2,FALSE))</f>
        <v/>
      </c>
      <c r="E136" s="2" t="str">
        <f>IF(ISBLANK(C136),"",VLOOKUP(C136,ADMISSION!B:N,9,0))</f>
        <v/>
      </c>
      <c r="F136" s="2" t="str">
        <f>IF(ISBLANK(C136),"",VLOOKUP(C136,ADMISSION!B:N,10,))</f>
        <v/>
      </c>
      <c r="G136" s="91" t="str">
        <f t="shared" si="4"/>
        <v/>
      </c>
      <c r="H136" s="91" t="str">
        <f>IF(ISBLANK(C136),"",G136-SUMIF($C$1:C135,C136,$I$1:I135))</f>
        <v/>
      </c>
      <c r="J136" s="91" t="str">
        <f t="shared" si="5"/>
        <v/>
      </c>
      <c r="K136" s="94" t="str">
        <f>IF(ISBLANK(C136),"",SUMIF($C$1:C136,C136,$I$1:I136))</f>
        <v/>
      </c>
    </row>
    <row r="137" spans="1:11" x14ac:dyDescent="0.25">
      <c r="A137" s="130">
        <v>202425135</v>
      </c>
      <c r="D137" s="19" t="str">
        <f>IF(ISBLANK(C137),"",VLOOKUP(C137,ADMISSION!B:N,2,FALSE))</f>
        <v/>
      </c>
      <c r="E137" s="2" t="str">
        <f>IF(ISBLANK(C137),"",VLOOKUP(C137,ADMISSION!B:N,9,0))</f>
        <v/>
      </c>
      <c r="F137" s="2" t="str">
        <f>IF(ISBLANK(C137),"",VLOOKUP(C137,ADMISSION!B:N,10,))</f>
        <v/>
      </c>
      <c r="G137" s="91" t="str">
        <f t="shared" si="4"/>
        <v/>
      </c>
      <c r="H137" s="91" t="str">
        <f>IF(ISBLANK(C137),"",G137-SUMIF($C$1:C136,C137,$I$1:I136))</f>
        <v/>
      </c>
      <c r="J137" s="91" t="str">
        <f t="shared" si="5"/>
        <v/>
      </c>
      <c r="K137" s="94" t="str">
        <f>IF(ISBLANK(C137),"",SUMIF($C$1:C137,C137,$I$1:I137))</f>
        <v/>
      </c>
    </row>
    <row r="138" spans="1:11" x14ac:dyDescent="0.25">
      <c r="A138" s="130">
        <v>202425136</v>
      </c>
      <c r="D138" s="19" t="str">
        <f>IF(ISBLANK(C138),"",VLOOKUP(C138,ADMISSION!B:N,2,FALSE))</f>
        <v/>
      </c>
      <c r="E138" s="2" t="str">
        <f>IF(ISBLANK(C138),"",VLOOKUP(C138,ADMISSION!B:N,9,0))</f>
        <v/>
      </c>
      <c r="F138" s="2" t="str">
        <f>IF(ISBLANK(C138),"",VLOOKUP(C138,ADMISSION!B:N,10,))</f>
        <v/>
      </c>
      <c r="G138" s="91" t="str">
        <f t="shared" si="4"/>
        <v/>
      </c>
      <c r="H138" s="91" t="str">
        <f>IF(ISBLANK(C138),"",G138-SUMIF($C$1:C137,C138,$I$1:I137))</f>
        <v/>
      </c>
      <c r="J138" s="91" t="str">
        <f t="shared" si="5"/>
        <v/>
      </c>
      <c r="K138" s="94" t="str">
        <f>IF(ISBLANK(C138),"",SUMIF($C$1:C138,C138,$I$1:I138))</f>
        <v/>
      </c>
    </row>
    <row r="139" spans="1:11" x14ac:dyDescent="0.25">
      <c r="A139" s="130">
        <v>202425137</v>
      </c>
      <c r="D139" s="19" t="str">
        <f>IF(ISBLANK(C139),"",VLOOKUP(C139,ADMISSION!B:N,2,FALSE))</f>
        <v/>
      </c>
      <c r="E139" s="2" t="str">
        <f>IF(ISBLANK(C139),"",VLOOKUP(C139,ADMISSION!B:N,9,0))</f>
        <v/>
      </c>
      <c r="F139" s="2" t="str">
        <f>IF(ISBLANK(C139),"",VLOOKUP(C139,ADMISSION!B:N,10,))</f>
        <v/>
      </c>
      <c r="G139" s="91" t="str">
        <f t="shared" si="4"/>
        <v/>
      </c>
      <c r="H139" s="91" t="str">
        <f>IF(ISBLANK(C139),"",G139-SUMIF($C$1:C138,C139,$I$1:I138))</f>
        <v/>
      </c>
      <c r="J139" s="91" t="str">
        <f t="shared" si="5"/>
        <v/>
      </c>
      <c r="K139" s="94" t="str">
        <f>IF(ISBLANK(C139),"",SUMIF($C$1:C139,C139,$I$1:I139))</f>
        <v/>
      </c>
    </row>
    <row r="140" spans="1:11" x14ac:dyDescent="0.25">
      <c r="A140" s="130">
        <v>202425138</v>
      </c>
      <c r="D140" s="19" t="str">
        <f>IF(ISBLANK(C140),"",VLOOKUP(C140,ADMISSION!B:N,2,FALSE))</f>
        <v/>
      </c>
      <c r="E140" s="2" t="str">
        <f>IF(ISBLANK(C140),"",VLOOKUP(C140,ADMISSION!B:N,9,0))</f>
        <v/>
      </c>
      <c r="F140" s="2" t="str">
        <f>IF(ISBLANK(C140),"",VLOOKUP(C140,ADMISSION!B:N,10,))</f>
        <v/>
      </c>
      <c r="G140" s="91" t="str">
        <f t="shared" si="4"/>
        <v/>
      </c>
      <c r="H140" s="91" t="str">
        <f>IF(ISBLANK(C140),"",G140-SUMIF($C$1:C139,C140,$I$1:I139))</f>
        <v/>
      </c>
      <c r="J140" s="91" t="str">
        <f t="shared" si="5"/>
        <v/>
      </c>
      <c r="K140" s="94" t="str">
        <f>IF(ISBLANK(C140),"",SUMIF($C$1:C140,C140,$I$1:I140))</f>
        <v/>
      </c>
    </row>
    <row r="141" spans="1:11" x14ac:dyDescent="0.25">
      <c r="A141" s="130">
        <v>202425139</v>
      </c>
      <c r="D141" s="19" t="str">
        <f>IF(ISBLANK(C141),"",VLOOKUP(C141,ADMISSION!B:N,2,FALSE))</f>
        <v/>
      </c>
      <c r="E141" s="2" t="str">
        <f>IF(ISBLANK(C141),"",VLOOKUP(C141,ADMISSION!B:N,9,0))</f>
        <v/>
      </c>
      <c r="F141" s="2" t="str">
        <f>IF(ISBLANK(C141),"",VLOOKUP(C141,ADMISSION!B:N,10,))</f>
        <v/>
      </c>
      <c r="G141" s="91" t="str">
        <f t="shared" si="4"/>
        <v/>
      </c>
      <c r="H141" s="91" t="str">
        <f>IF(ISBLANK(C141),"",G141-SUMIF($C$1:C140,C141,$I$1:I140))</f>
        <v/>
      </c>
      <c r="J141" s="91" t="str">
        <f t="shared" si="5"/>
        <v/>
      </c>
      <c r="K141" s="94" t="str">
        <f>IF(ISBLANK(C141),"",SUMIF($C$1:C141,C141,$I$1:I141))</f>
        <v/>
      </c>
    </row>
    <row r="142" spans="1:11" x14ac:dyDescent="0.25">
      <c r="A142" s="130">
        <v>202425140</v>
      </c>
      <c r="D142" s="19" t="str">
        <f>IF(ISBLANK(C142),"",VLOOKUP(C142,ADMISSION!B:N,2,FALSE))</f>
        <v/>
      </c>
      <c r="E142" s="2" t="str">
        <f>IF(ISBLANK(C142),"",VLOOKUP(C142,ADMISSION!B:N,9,0))</f>
        <v/>
      </c>
      <c r="F142" s="2" t="str">
        <f>IF(ISBLANK(C142),"",VLOOKUP(C142,ADMISSION!B:N,10,))</f>
        <v/>
      </c>
      <c r="G142" s="91" t="str">
        <f t="shared" si="4"/>
        <v/>
      </c>
      <c r="H142" s="91" t="str">
        <f>IF(ISBLANK(C142),"",G142-SUMIF($C$1:C141,C142,$I$1:I141))</f>
        <v/>
      </c>
      <c r="J142" s="91" t="str">
        <f t="shared" si="5"/>
        <v/>
      </c>
      <c r="K142" s="94" t="str">
        <f>IF(ISBLANK(C142),"",SUMIF($C$1:C142,C142,$I$1:I142))</f>
        <v/>
      </c>
    </row>
    <row r="143" spans="1:11" x14ac:dyDescent="0.25">
      <c r="A143" s="130">
        <v>202425141</v>
      </c>
      <c r="D143" s="19" t="str">
        <f>IF(ISBLANK(C143),"",VLOOKUP(C143,ADMISSION!B:N,2,FALSE))</f>
        <v/>
      </c>
      <c r="E143" s="2" t="str">
        <f>IF(ISBLANK(C143),"",VLOOKUP(C143,ADMISSION!B:N,9,0))</f>
        <v/>
      </c>
      <c r="F143" s="2" t="str">
        <f>IF(ISBLANK(C143),"",VLOOKUP(C143,ADMISSION!B:N,10,))</f>
        <v/>
      </c>
      <c r="G143" s="91" t="str">
        <f t="shared" si="4"/>
        <v/>
      </c>
      <c r="H143" s="91" t="str">
        <f>IF(ISBLANK(C143),"",G143-SUMIF($C$1:C142,C143,$I$1:I142))</f>
        <v/>
      </c>
      <c r="J143" s="91" t="str">
        <f t="shared" si="5"/>
        <v/>
      </c>
      <c r="K143" s="94" t="str">
        <f>IF(ISBLANK(C143),"",SUMIF($C$1:C143,C143,$I$1:I143))</f>
        <v/>
      </c>
    </row>
    <row r="144" spans="1:11" x14ac:dyDescent="0.25">
      <c r="A144" s="130">
        <v>202425142</v>
      </c>
      <c r="D144" s="19" t="str">
        <f>IF(ISBLANK(C144),"",VLOOKUP(C144,ADMISSION!B:N,2,FALSE))</f>
        <v/>
      </c>
      <c r="E144" s="2" t="str">
        <f>IF(ISBLANK(C144),"",VLOOKUP(C144,ADMISSION!B:N,9,0))</f>
        <v/>
      </c>
      <c r="F144" s="2" t="str">
        <f>IF(ISBLANK(C144),"",VLOOKUP(C144,ADMISSION!B:N,10,))</f>
        <v/>
      </c>
      <c r="G144" s="91" t="str">
        <f t="shared" si="4"/>
        <v/>
      </c>
      <c r="H144" s="91" t="str">
        <f>IF(ISBLANK(C144),"",G144-SUMIF($C$1:C143,C144,$I$1:I143))</f>
        <v/>
      </c>
      <c r="J144" s="91" t="str">
        <f t="shared" si="5"/>
        <v/>
      </c>
      <c r="K144" s="94" t="str">
        <f>IF(ISBLANK(C144),"",SUMIF($C$1:C144,C144,$I$1:I144))</f>
        <v/>
      </c>
    </row>
    <row r="145" spans="1:11" x14ac:dyDescent="0.25">
      <c r="A145" s="130">
        <v>202425143</v>
      </c>
      <c r="D145" s="19" t="str">
        <f>IF(ISBLANK(C145),"",VLOOKUP(C145,ADMISSION!B:N,2,FALSE))</f>
        <v/>
      </c>
      <c r="E145" s="2" t="str">
        <f>IF(ISBLANK(C145),"",VLOOKUP(C145,ADMISSION!B:N,9,0))</f>
        <v/>
      </c>
      <c r="F145" s="2" t="str">
        <f>IF(ISBLANK(C145),"",VLOOKUP(C145,ADMISSION!B:N,10,))</f>
        <v/>
      </c>
      <c r="G145" s="91" t="str">
        <f t="shared" si="4"/>
        <v/>
      </c>
      <c r="H145" s="91" t="str">
        <f>IF(ISBLANK(C145),"",G145-SUMIF($C$1:C144,C145,$I$1:I144))</f>
        <v/>
      </c>
      <c r="J145" s="91" t="str">
        <f t="shared" si="5"/>
        <v/>
      </c>
      <c r="K145" s="94" t="str">
        <f>IF(ISBLANK(C145),"",SUMIF($C$1:C145,C145,$I$1:I145))</f>
        <v/>
      </c>
    </row>
    <row r="146" spans="1:11" x14ac:dyDescent="0.25">
      <c r="A146" s="130">
        <v>202425144</v>
      </c>
      <c r="D146" s="19" t="str">
        <f>IF(ISBLANK(C146),"",VLOOKUP(C146,ADMISSION!B:N,2,FALSE))</f>
        <v/>
      </c>
      <c r="E146" s="2" t="str">
        <f>IF(ISBLANK(C146),"",VLOOKUP(C146,ADMISSION!B:N,9,0))</f>
        <v/>
      </c>
      <c r="F146" s="2" t="str">
        <f>IF(ISBLANK(C146),"",VLOOKUP(C146,ADMISSION!B:N,10,))</f>
        <v/>
      </c>
      <c r="G146" s="91" t="str">
        <f t="shared" si="4"/>
        <v/>
      </c>
      <c r="H146" s="91" t="str">
        <f>IF(ISBLANK(C146),"",G146-SUMIF($C$1:C145,C146,$I$1:I145))</f>
        <v/>
      </c>
      <c r="J146" s="91" t="str">
        <f t="shared" si="5"/>
        <v/>
      </c>
      <c r="K146" s="94" t="str">
        <f>IF(ISBLANK(C146),"",SUMIF($C$1:C146,C146,$I$1:I146))</f>
        <v/>
      </c>
    </row>
    <row r="147" spans="1:11" x14ac:dyDescent="0.25">
      <c r="A147" s="130">
        <v>202425145</v>
      </c>
      <c r="D147" s="19" t="str">
        <f>IF(ISBLANK(C147),"",VLOOKUP(C147,ADMISSION!B:N,2,FALSE))</f>
        <v/>
      </c>
      <c r="E147" s="2" t="str">
        <f>IF(ISBLANK(C147),"",VLOOKUP(C147,ADMISSION!B:N,9,0))</f>
        <v/>
      </c>
      <c r="F147" s="2" t="str">
        <f>IF(ISBLANK(C147),"",VLOOKUP(C147,ADMISSION!B:N,10,))</f>
        <v/>
      </c>
      <c r="G147" s="91" t="str">
        <f t="shared" si="4"/>
        <v/>
      </c>
      <c r="H147" s="91" t="str">
        <f>IF(ISBLANK(C147),"",G147-SUMIF($C$1:C146,C147,$I$1:I146))</f>
        <v/>
      </c>
      <c r="J147" s="91" t="str">
        <f t="shared" si="5"/>
        <v/>
      </c>
      <c r="K147" s="94" t="str">
        <f>IF(ISBLANK(C147),"",SUMIF($C$1:C147,C147,$I$1:I147))</f>
        <v/>
      </c>
    </row>
    <row r="148" spans="1:11" x14ac:dyDescent="0.25">
      <c r="A148" s="130">
        <v>202425146</v>
      </c>
      <c r="D148" s="19" t="str">
        <f>IF(ISBLANK(C148),"",VLOOKUP(C148,ADMISSION!B:N,2,FALSE))</f>
        <v/>
      </c>
      <c r="E148" s="2" t="str">
        <f>IF(ISBLANK(C148),"",VLOOKUP(C148,ADMISSION!B:N,9,0))</f>
        <v/>
      </c>
      <c r="F148" s="2" t="str">
        <f>IF(ISBLANK(C148),"",VLOOKUP(C148,ADMISSION!B:N,10,))</f>
        <v/>
      </c>
      <c r="G148" s="91" t="str">
        <f t="shared" si="4"/>
        <v/>
      </c>
      <c r="H148" s="91" t="str">
        <f>IF(ISBLANK(C148),"",G148-SUMIF($C$1:C147,C148,$I$1:I147))</f>
        <v/>
      </c>
      <c r="J148" s="91" t="str">
        <f t="shared" si="5"/>
        <v/>
      </c>
      <c r="K148" s="94" t="str">
        <f>IF(ISBLANK(C148),"",SUMIF($C$1:C148,C148,$I$1:I148))</f>
        <v/>
      </c>
    </row>
    <row r="149" spans="1:11" x14ac:dyDescent="0.25">
      <c r="A149" s="130">
        <v>202425147</v>
      </c>
      <c r="D149" s="19" t="str">
        <f>IF(ISBLANK(C149),"",VLOOKUP(C149,ADMISSION!B:N,2,FALSE))</f>
        <v/>
      </c>
      <c r="E149" s="2" t="str">
        <f>IF(ISBLANK(C149),"",VLOOKUP(C149,ADMISSION!B:N,9,0))</f>
        <v/>
      </c>
      <c r="F149" s="2" t="str">
        <f>IF(ISBLANK(C149),"",VLOOKUP(C149,ADMISSION!B:N,10,))</f>
        <v/>
      </c>
      <c r="G149" s="91" t="str">
        <f t="shared" si="4"/>
        <v/>
      </c>
      <c r="H149" s="91" t="str">
        <f>IF(ISBLANK(C149),"",G149-SUMIF($C$1:C148,C149,$I$1:I148))</f>
        <v/>
      </c>
      <c r="J149" s="91" t="str">
        <f t="shared" si="5"/>
        <v/>
      </c>
      <c r="K149" s="94" t="str">
        <f>IF(ISBLANK(C149),"",SUMIF($C$1:C149,C149,$I$1:I149))</f>
        <v/>
      </c>
    </row>
    <row r="150" spans="1:11" x14ac:dyDescent="0.25">
      <c r="A150" s="130">
        <v>202425148</v>
      </c>
      <c r="D150" s="19" t="str">
        <f>IF(ISBLANK(C150),"",VLOOKUP(C150,ADMISSION!B:N,2,FALSE))</f>
        <v/>
      </c>
      <c r="E150" s="2" t="str">
        <f>IF(ISBLANK(C150),"",VLOOKUP(C150,ADMISSION!B:N,9,0))</f>
        <v/>
      </c>
      <c r="F150" s="2" t="str">
        <f>IF(ISBLANK(C150),"",VLOOKUP(C150,ADMISSION!B:N,10,))</f>
        <v/>
      </c>
      <c r="G150" s="91" t="str">
        <f t="shared" si="4"/>
        <v/>
      </c>
      <c r="H150" s="91" t="str">
        <f>IF(ISBLANK(C150),"",G150-SUMIF($C$1:C149,C150,$I$1:I149))</f>
        <v/>
      </c>
      <c r="J150" s="91" t="str">
        <f t="shared" si="5"/>
        <v/>
      </c>
      <c r="K150" s="94" t="str">
        <f>IF(ISBLANK(C150),"",SUMIF($C$1:C150,C150,$I$1:I150))</f>
        <v/>
      </c>
    </row>
    <row r="151" spans="1:11" x14ac:dyDescent="0.25">
      <c r="A151" s="130">
        <v>202425149</v>
      </c>
      <c r="D151" s="19" t="str">
        <f>IF(ISBLANK(C151),"",VLOOKUP(C151,ADMISSION!B:N,2,FALSE))</f>
        <v/>
      </c>
      <c r="E151" s="2" t="str">
        <f>IF(ISBLANK(C151),"",VLOOKUP(C151,ADMISSION!B:N,9,0))</f>
        <v/>
      </c>
      <c r="F151" s="2" t="str">
        <f>IF(ISBLANK(C151),"",VLOOKUP(C151,ADMISSION!B:N,10,))</f>
        <v/>
      </c>
      <c r="G151" s="91" t="str">
        <f t="shared" si="4"/>
        <v/>
      </c>
      <c r="H151" s="91" t="str">
        <f>IF(ISBLANK(C151),"",G151-SUMIF($C$1:C150,C151,$I$1:I150))</f>
        <v/>
      </c>
      <c r="J151" s="91" t="str">
        <f t="shared" si="5"/>
        <v/>
      </c>
      <c r="K151" s="94" t="str">
        <f>IF(ISBLANK(C151),"",SUMIF($C$1:C151,C151,$I$1:I151))</f>
        <v/>
      </c>
    </row>
    <row r="152" spans="1:11" x14ac:dyDescent="0.25">
      <c r="A152" s="130">
        <v>202425150</v>
      </c>
      <c r="D152" s="19" t="str">
        <f>IF(ISBLANK(C152),"",VLOOKUP(C152,ADMISSION!B:N,2,FALSE))</f>
        <v/>
      </c>
      <c r="E152" s="2" t="str">
        <f>IF(ISBLANK(C152),"",VLOOKUP(C152,ADMISSION!B:N,9,0))</f>
        <v/>
      </c>
      <c r="F152" s="2" t="str">
        <f>IF(ISBLANK(C152),"",VLOOKUP(C152,ADMISSION!B:N,10,))</f>
        <v/>
      </c>
      <c r="G152" s="91" t="str">
        <f t="shared" si="4"/>
        <v/>
      </c>
      <c r="H152" s="91" t="str">
        <f>IF(ISBLANK(C152),"",G152-SUMIF($C$1:C151,C152,$I$1:I151))</f>
        <v/>
      </c>
      <c r="J152" s="91" t="str">
        <f t="shared" si="5"/>
        <v/>
      </c>
      <c r="K152" s="94" t="str">
        <f>IF(ISBLANK(C152),"",SUMIF($C$1:C152,C152,$I$1:I152))</f>
        <v/>
      </c>
    </row>
    <row r="153" spans="1:11" x14ac:dyDescent="0.25">
      <c r="A153" s="130">
        <v>202425151</v>
      </c>
      <c r="D153" s="19" t="str">
        <f>IF(ISBLANK(C153),"",VLOOKUP(C153,ADMISSION!B:N,2,FALSE))</f>
        <v/>
      </c>
      <c r="E153" s="2" t="str">
        <f>IF(ISBLANK(C153),"",VLOOKUP(C153,ADMISSION!B:N,9,0))</f>
        <v/>
      </c>
      <c r="F153" s="2" t="str">
        <f>IF(ISBLANK(C153),"",VLOOKUP(C153,ADMISSION!B:N,10,))</f>
        <v/>
      </c>
      <c r="G153" s="91" t="str">
        <f t="shared" si="4"/>
        <v/>
      </c>
      <c r="H153" s="91" t="str">
        <f>IF(ISBLANK(C153),"",G153-SUMIF($C$1:C152,C153,$I$1:I152))</f>
        <v/>
      </c>
      <c r="J153" s="91" t="str">
        <f t="shared" si="5"/>
        <v/>
      </c>
      <c r="K153" s="94" t="str">
        <f>IF(ISBLANK(C153),"",SUMIF($C$1:C153,C153,$I$1:I153))</f>
        <v/>
      </c>
    </row>
    <row r="154" spans="1:11" x14ac:dyDescent="0.25">
      <c r="A154" s="130">
        <v>202425152</v>
      </c>
      <c r="D154" s="19" t="str">
        <f>IF(ISBLANK(C154),"",VLOOKUP(C154,ADMISSION!B:N,2,FALSE))</f>
        <v/>
      </c>
      <c r="E154" s="2" t="str">
        <f>IF(ISBLANK(C154),"",VLOOKUP(C154,ADMISSION!B:N,9,0))</f>
        <v/>
      </c>
      <c r="F154" s="2" t="str">
        <f>IF(ISBLANK(C154),"",VLOOKUP(C154,ADMISSION!B:N,10,))</f>
        <v/>
      </c>
      <c r="G154" s="91" t="str">
        <f t="shared" si="4"/>
        <v/>
      </c>
      <c r="H154" s="91" t="str">
        <f>IF(ISBLANK(C154),"",G154-SUMIF($C$1:C153,C154,$I$1:I153))</f>
        <v/>
      </c>
      <c r="J154" s="91" t="str">
        <f t="shared" si="5"/>
        <v/>
      </c>
      <c r="K154" s="94" t="str">
        <f>IF(ISBLANK(C154),"",SUMIF($C$1:C154,C154,$I$1:I154))</f>
        <v/>
      </c>
    </row>
    <row r="155" spans="1:11" x14ac:dyDescent="0.25">
      <c r="A155" s="130">
        <v>202425153</v>
      </c>
      <c r="D155" s="19" t="str">
        <f>IF(ISBLANK(C155),"",VLOOKUP(C155,ADMISSION!B:N,2,FALSE))</f>
        <v/>
      </c>
      <c r="E155" s="2" t="str">
        <f>IF(ISBLANK(C155),"",VLOOKUP(C155,ADMISSION!B:N,9,0))</f>
        <v/>
      </c>
      <c r="F155" s="2" t="str">
        <f>IF(ISBLANK(C155),"",VLOOKUP(C155,ADMISSION!B:N,10,))</f>
        <v/>
      </c>
      <c r="G155" s="91" t="str">
        <f t="shared" si="4"/>
        <v/>
      </c>
      <c r="H155" s="91" t="str">
        <f>IF(ISBLANK(C155),"",G155-SUMIF($C$1:C154,C155,$I$1:I154))</f>
        <v/>
      </c>
      <c r="J155" s="91" t="str">
        <f t="shared" si="5"/>
        <v/>
      </c>
      <c r="K155" s="94" t="str">
        <f>IF(ISBLANK(C155),"",SUMIF($C$1:C155,C155,$I$1:I155))</f>
        <v/>
      </c>
    </row>
    <row r="156" spans="1:11" x14ac:dyDescent="0.25">
      <c r="A156" s="130">
        <v>202425154</v>
      </c>
      <c r="D156" s="19" t="str">
        <f>IF(ISBLANK(C156),"",VLOOKUP(C156,ADMISSION!B:N,2,FALSE))</f>
        <v/>
      </c>
      <c r="E156" s="2" t="str">
        <f>IF(ISBLANK(C156),"",VLOOKUP(C156,ADMISSION!B:N,9,0))</f>
        <v/>
      </c>
      <c r="F156" s="2" t="str">
        <f>IF(ISBLANK(C156),"",VLOOKUP(C156,ADMISSION!B:N,10,))</f>
        <v/>
      </c>
      <c r="G156" s="91" t="str">
        <f t="shared" si="4"/>
        <v/>
      </c>
      <c r="H156" s="91" t="str">
        <f>IF(ISBLANK(C156),"",G156-SUMIF($C$1:C155,C156,$I$1:I155))</f>
        <v/>
      </c>
      <c r="J156" s="91" t="str">
        <f t="shared" si="5"/>
        <v/>
      </c>
      <c r="K156" s="94" t="str">
        <f>IF(ISBLANK(C156),"",SUMIF($C$1:C156,C156,$I$1:I156))</f>
        <v/>
      </c>
    </row>
    <row r="157" spans="1:11" x14ac:dyDescent="0.25">
      <c r="A157" s="130">
        <v>202425155</v>
      </c>
      <c r="D157" s="19" t="str">
        <f>IF(ISBLANK(C157),"",VLOOKUP(C157,ADMISSION!B:N,2,FALSE))</f>
        <v/>
      </c>
      <c r="E157" s="2" t="str">
        <f>IF(ISBLANK(C157),"",VLOOKUP(C157,ADMISSION!B:N,9,0))</f>
        <v/>
      </c>
      <c r="F157" s="2" t="str">
        <f>IF(ISBLANK(C157),"",VLOOKUP(C157,ADMISSION!B:N,10,))</f>
        <v/>
      </c>
      <c r="G157" s="91" t="str">
        <f t="shared" si="4"/>
        <v/>
      </c>
      <c r="H157" s="91" t="str">
        <f>IF(ISBLANK(C157),"",G157-SUMIF($C$1:C156,C157,$I$1:I156))</f>
        <v/>
      </c>
      <c r="J157" s="91" t="str">
        <f t="shared" si="5"/>
        <v/>
      </c>
      <c r="K157" s="94" t="str">
        <f>IF(ISBLANK(C157),"",SUMIF($C$1:C157,C157,$I$1:I157))</f>
        <v/>
      </c>
    </row>
    <row r="158" spans="1:11" x14ac:dyDescent="0.25">
      <c r="A158" s="130">
        <v>202425156</v>
      </c>
      <c r="D158" s="19" t="str">
        <f>IF(ISBLANK(C158),"",VLOOKUP(C158,ADMISSION!B:N,2,FALSE))</f>
        <v/>
      </c>
      <c r="E158" s="2" t="str">
        <f>IF(ISBLANK(C158),"",VLOOKUP(C158,ADMISSION!B:N,9,0))</f>
        <v/>
      </c>
      <c r="F158" s="2" t="str">
        <f>IF(ISBLANK(C158),"",VLOOKUP(C158,ADMISSION!B:N,10,))</f>
        <v/>
      </c>
      <c r="G158" s="91" t="str">
        <f t="shared" si="4"/>
        <v/>
      </c>
      <c r="H158" s="91" t="str">
        <f>IF(ISBLANK(C158),"",G158-SUMIF($C$1:C157,C158,$I$1:I157))</f>
        <v/>
      </c>
      <c r="J158" s="91" t="str">
        <f t="shared" si="5"/>
        <v/>
      </c>
      <c r="K158" s="94" t="str">
        <f>IF(ISBLANK(C158),"",SUMIF($C$1:C158,C158,$I$1:I158))</f>
        <v/>
      </c>
    </row>
    <row r="159" spans="1:11" x14ac:dyDescent="0.25">
      <c r="A159" s="130">
        <v>202425157</v>
      </c>
      <c r="D159" s="19" t="str">
        <f>IF(ISBLANK(C159),"",VLOOKUP(C159,ADMISSION!B:N,2,FALSE))</f>
        <v/>
      </c>
      <c r="E159" s="2" t="str">
        <f>IF(ISBLANK(C159),"",VLOOKUP(C159,ADMISSION!B:N,9,0))</f>
        <v/>
      </c>
      <c r="F159" s="2" t="str">
        <f>IF(ISBLANK(C159),"",VLOOKUP(C159,ADMISSION!B:N,10,))</f>
        <v/>
      </c>
      <c r="G159" s="91" t="str">
        <f t="shared" si="4"/>
        <v/>
      </c>
      <c r="H159" s="91" t="str">
        <f>IF(ISBLANK(C159),"",G159-SUMIF($C$1:C158,C159,$I$1:I158))</f>
        <v/>
      </c>
      <c r="J159" s="91" t="str">
        <f t="shared" si="5"/>
        <v/>
      </c>
      <c r="K159" s="94" t="str">
        <f>IF(ISBLANK(C159),"",SUMIF($C$1:C159,C159,$I$1:I159))</f>
        <v/>
      </c>
    </row>
    <row r="160" spans="1:11" x14ac:dyDescent="0.25">
      <c r="A160" s="130">
        <v>202425158</v>
      </c>
      <c r="D160" s="19" t="str">
        <f>IF(ISBLANK(C160),"",VLOOKUP(C160,ADMISSION!B:N,2,FALSE))</f>
        <v/>
      </c>
      <c r="E160" s="2" t="str">
        <f>IF(ISBLANK(C160),"",VLOOKUP(C160,ADMISSION!B:N,9,0))</f>
        <v/>
      </c>
      <c r="F160" s="2" t="str">
        <f>IF(ISBLANK(C160),"",VLOOKUP(C160,ADMISSION!B:N,10,))</f>
        <v/>
      </c>
      <c r="G160" s="91" t="str">
        <f t="shared" si="4"/>
        <v/>
      </c>
      <c r="H160" s="91" t="str">
        <f>IF(ISBLANK(C160),"",G160-SUMIF($C$1:C159,C160,$I$1:I159))</f>
        <v/>
      </c>
      <c r="J160" s="91" t="str">
        <f t="shared" si="5"/>
        <v/>
      </c>
      <c r="K160" s="94" t="str">
        <f>IF(ISBLANK(C160),"",SUMIF($C$1:C160,C160,$I$1:I160))</f>
        <v/>
      </c>
    </row>
    <row r="161" spans="1:11" x14ac:dyDescent="0.25">
      <c r="A161" s="130">
        <v>202425159</v>
      </c>
      <c r="D161" s="19" t="str">
        <f>IF(ISBLANK(C161),"",VLOOKUP(C161,ADMISSION!B:N,2,FALSE))</f>
        <v/>
      </c>
      <c r="E161" s="2" t="str">
        <f>IF(ISBLANK(C161),"",VLOOKUP(C161,ADMISSION!B:N,9,0))</f>
        <v/>
      </c>
      <c r="F161" s="2" t="str">
        <f>IF(ISBLANK(C161),"",VLOOKUP(C161,ADMISSION!B:N,10,))</f>
        <v/>
      </c>
      <c r="G161" s="91" t="str">
        <f t="shared" si="4"/>
        <v/>
      </c>
      <c r="H161" s="91" t="str">
        <f>IF(ISBLANK(C161),"",G161-SUMIF($C$1:C160,C161,$I$1:I160))</f>
        <v/>
      </c>
      <c r="J161" s="91" t="str">
        <f t="shared" si="5"/>
        <v/>
      </c>
      <c r="K161" s="94" t="str">
        <f>IF(ISBLANK(C161),"",SUMIF($C$1:C161,C161,$I$1:I161))</f>
        <v/>
      </c>
    </row>
    <row r="162" spans="1:11" x14ac:dyDescent="0.25">
      <c r="A162" s="130">
        <v>202425160</v>
      </c>
      <c r="D162" s="19" t="str">
        <f>IF(ISBLANK(C162),"",VLOOKUP(C162,ADMISSION!B:N,2,FALSE))</f>
        <v/>
      </c>
      <c r="E162" s="2" t="str">
        <f>IF(ISBLANK(C162),"",VLOOKUP(C162,ADMISSION!B:N,9,0))</f>
        <v/>
      </c>
      <c r="F162" s="2" t="str">
        <f>IF(ISBLANK(C162),"",VLOOKUP(C162,ADMISSION!B:N,10,))</f>
        <v/>
      </c>
      <c r="G162" s="91" t="str">
        <f t="shared" si="4"/>
        <v/>
      </c>
      <c r="H162" s="91" t="str">
        <f>IF(ISBLANK(C162),"",G162-SUMIF($C$1:C161,C162,$I$1:I161))</f>
        <v/>
      </c>
      <c r="J162" s="91" t="str">
        <f t="shared" si="5"/>
        <v/>
      </c>
      <c r="K162" s="94" t="str">
        <f>IF(ISBLANK(C162),"",SUMIF($C$1:C162,C162,$I$1:I162))</f>
        <v/>
      </c>
    </row>
    <row r="163" spans="1:11" x14ac:dyDescent="0.25">
      <c r="A163" s="130">
        <v>202425161</v>
      </c>
      <c r="D163" s="19" t="str">
        <f>IF(ISBLANK(C163),"",VLOOKUP(C163,ADMISSION!B:N,2,FALSE))</f>
        <v/>
      </c>
      <c r="E163" s="2" t="str">
        <f>IF(ISBLANK(C163),"",VLOOKUP(C163,ADMISSION!B:N,9,0))</f>
        <v/>
      </c>
      <c r="F163" s="2" t="str">
        <f>IF(ISBLANK(C163),"",VLOOKUP(C163,ADMISSION!B:N,10,))</f>
        <v/>
      </c>
      <c r="G163" s="91" t="str">
        <f t="shared" si="4"/>
        <v/>
      </c>
      <c r="H163" s="91" t="str">
        <f>IF(ISBLANK(C163),"",G163-SUMIF($C$1:C162,C163,$I$1:I162))</f>
        <v/>
      </c>
      <c r="J163" s="91" t="str">
        <f t="shared" si="5"/>
        <v/>
      </c>
      <c r="K163" s="94" t="str">
        <f>IF(ISBLANK(C163),"",SUMIF($C$1:C163,C163,$I$1:I163))</f>
        <v/>
      </c>
    </row>
    <row r="164" spans="1:11" x14ac:dyDescent="0.25">
      <c r="A164" s="130">
        <v>202425162</v>
      </c>
      <c r="D164" s="19" t="str">
        <f>IF(ISBLANK(C164),"",VLOOKUP(C164,ADMISSION!B:N,2,FALSE))</f>
        <v/>
      </c>
      <c r="E164" s="2" t="str">
        <f>IF(ISBLANK(C164),"",VLOOKUP(C164,ADMISSION!B:N,9,0))</f>
        <v/>
      </c>
      <c r="F164" s="2" t="str">
        <f>IF(ISBLANK(C164),"",VLOOKUP(C164,ADMISSION!B:N,10,))</f>
        <v/>
      </c>
      <c r="G164" s="91" t="str">
        <f t="shared" si="4"/>
        <v/>
      </c>
      <c r="H164" s="91" t="str">
        <f>IF(ISBLANK(C164),"",G164-SUMIF($C$1:C163,C164,$I$1:I163))</f>
        <v/>
      </c>
      <c r="J164" s="91" t="str">
        <f t="shared" si="5"/>
        <v/>
      </c>
      <c r="K164" s="94" t="str">
        <f>IF(ISBLANK(C164),"",SUMIF($C$1:C164,C164,$I$1:I164))</f>
        <v/>
      </c>
    </row>
    <row r="165" spans="1:11" x14ac:dyDescent="0.25">
      <c r="A165" s="130">
        <v>202425163</v>
      </c>
      <c r="D165" s="19" t="str">
        <f>IF(ISBLANK(C165),"",VLOOKUP(C165,ADMISSION!B:N,2,FALSE))</f>
        <v/>
      </c>
      <c r="E165" s="2" t="str">
        <f>IF(ISBLANK(C165),"",VLOOKUP(C165,ADMISSION!B:N,9,0))</f>
        <v/>
      </c>
      <c r="F165" s="2" t="str">
        <f>IF(ISBLANK(C165),"",VLOOKUP(C165,ADMISSION!B:N,10,))</f>
        <v/>
      </c>
      <c r="G165" s="91" t="str">
        <f t="shared" si="4"/>
        <v/>
      </c>
      <c r="H165" s="91" t="str">
        <f>IF(ISBLANK(C165),"",G165-SUMIF($C$1:C164,C165,$I$1:I164))</f>
        <v/>
      </c>
      <c r="J165" s="91" t="str">
        <f t="shared" si="5"/>
        <v/>
      </c>
      <c r="K165" s="94" t="str">
        <f>IF(ISBLANK(C165),"",SUMIF($C$1:C165,C165,$I$1:I165))</f>
        <v/>
      </c>
    </row>
    <row r="166" spans="1:11" x14ac:dyDescent="0.25">
      <c r="A166" s="130">
        <v>202425164</v>
      </c>
      <c r="D166" s="19" t="str">
        <f>IF(ISBLANK(C166),"",VLOOKUP(C166,ADMISSION!B:N,2,FALSE))</f>
        <v/>
      </c>
      <c r="E166" s="2" t="str">
        <f>IF(ISBLANK(C166),"",VLOOKUP(C166,ADMISSION!B:N,9,0))</f>
        <v/>
      </c>
      <c r="F166" s="2" t="str">
        <f>IF(ISBLANK(C166),"",VLOOKUP(C166,ADMISSION!B:N,10,))</f>
        <v/>
      </c>
      <c r="G166" s="91" t="str">
        <f t="shared" si="4"/>
        <v/>
      </c>
      <c r="H166" s="91" t="str">
        <f>IF(ISBLANK(C166),"",G166-SUMIF($C$1:C165,C166,$I$1:I165))</f>
        <v/>
      </c>
      <c r="J166" s="91" t="str">
        <f t="shared" si="5"/>
        <v/>
      </c>
      <c r="K166" s="94" t="str">
        <f>IF(ISBLANK(C166),"",SUMIF($C$1:C166,C166,$I$1:I166))</f>
        <v/>
      </c>
    </row>
    <row r="167" spans="1:11" x14ac:dyDescent="0.25">
      <c r="A167" s="130">
        <v>202425165</v>
      </c>
      <c r="D167" s="19" t="str">
        <f>IF(ISBLANK(C167),"",VLOOKUP(C167,ADMISSION!B:N,2,FALSE))</f>
        <v/>
      </c>
      <c r="E167" s="2" t="str">
        <f>IF(ISBLANK(C167),"",VLOOKUP(C167,ADMISSION!B:N,9,0))</f>
        <v/>
      </c>
      <c r="F167" s="2" t="str">
        <f>IF(ISBLANK(C167),"",VLOOKUP(C167,ADMISSION!B:N,10,))</f>
        <v/>
      </c>
      <c r="G167" s="91" t="str">
        <f t="shared" si="4"/>
        <v/>
      </c>
      <c r="H167" s="91" t="str">
        <f>IF(ISBLANK(C167),"",G167-SUMIF($C$1:C166,C167,$I$1:I166))</f>
        <v/>
      </c>
      <c r="J167" s="91" t="str">
        <f t="shared" si="5"/>
        <v/>
      </c>
      <c r="K167" s="94" t="str">
        <f>IF(ISBLANK(C167),"",SUMIF($C$1:C167,C167,$I$1:I167))</f>
        <v/>
      </c>
    </row>
    <row r="168" spans="1:11" x14ac:dyDescent="0.25">
      <c r="A168" s="130">
        <v>202425166</v>
      </c>
      <c r="D168" s="19" t="str">
        <f>IF(ISBLANK(C168),"",VLOOKUP(C168,ADMISSION!B:N,2,FALSE))</f>
        <v/>
      </c>
      <c r="E168" s="2" t="str">
        <f>IF(ISBLANK(C168),"",VLOOKUP(C168,ADMISSION!B:N,9,0))</f>
        <v/>
      </c>
      <c r="F168" s="2" t="str">
        <f>IF(ISBLANK(C168),"",VLOOKUP(C168,ADMISSION!B:N,10,))</f>
        <v/>
      </c>
      <c r="G168" s="91" t="str">
        <f t="shared" si="4"/>
        <v/>
      </c>
      <c r="H168" s="91" t="str">
        <f>IF(ISBLANK(C168),"",G168-SUMIF($C$1:C167,C168,$I$1:I167))</f>
        <v/>
      </c>
      <c r="J168" s="91" t="str">
        <f t="shared" si="5"/>
        <v/>
      </c>
      <c r="K168" s="94" t="str">
        <f>IF(ISBLANK(C168),"",SUMIF($C$1:C168,C168,$I$1:I168))</f>
        <v/>
      </c>
    </row>
    <row r="169" spans="1:11" x14ac:dyDescent="0.25">
      <c r="A169" s="130">
        <v>202425167</v>
      </c>
      <c r="D169" s="19" t="str">
        <f>IF(ISBLANK(C169),"",VLOOKUP(C169,ADMISSION!B:N,2,FALSE))</f>
        <v/>
      </c>
      <c r="E169" s="2" t="str">
        <f>IF(ISBLANK(C169),"",VLOOKUP(C169,ADMISSION!B:N,9,0))</f>
        <v/>
      </c>
      <c r="F169" s="2" t="str">
        <f>IF(ISBLANK(C169),"",VLOOKUP(C169,ADMISSION!B:N,10,))</f>
        <v/>
      </c>
      <c r="G169" s="91" t="str">
        <f t="shared" si="4"/>
        <v/>
      </c>
      <c r="H169" s="91" t="str">
        <f>IF(ISBLANK(C169),"",G169-SUMIF($C$1:C168,C169,$I$1:I168))</f>
        <v/>
      </c>
      <c r="J169" s="91" t="str">
        <f t="shared" si="5"/>
        <v/>
      </c>
      <c r="K169" s="94" t="str">
        <f>IF(ISBLANK(C169),"",SUMIF($C$1:C169,C169,$I$1:I169))</f>
        <v/>
      </c>
    </row>
    <row r="170" spans="1:11" x14ac:dyDescent="0.25">
      <c r="A170" s="130">
        <v>202425168</v>
      </c>
      <c r="D170" s="19" t="str">
        <f>IF(ISBLANK(C170),"",VLOOKUP(C170,ADMISSION!B:N,2,FALSE))</f>
        <v/>
      </c>
      <c r="E170" s="2" t="str">
        <f>IF(ISBLANK(C170),"",VLOOKUP(C170,ADMISSION!B:N,9,0))</f>
        <v/>
      </c>
      <c r="F170" s="2" t="str">
        <f>IF(ISBLANK(C170),"",VLOOKUP(C170,ADMISSION!B:N,10,))</f>
        <v/>
      </c>
      <c r="G170" s="91" t="str">
        <f t="shared" si="4"/>
        <v/>
      </c>
      <c r="H170" s="91" t="str">
        <f>IF(ISBLANK(C170),"",G170-SUMIF($C$1:C169,C170,$I$1:I169))</f>
        <v/>
      </c>
      <c r="J170" s="91" t="str">
        <f t="shared" si="5"/>
        <v/>
      </c>
      <c r="K170" s="94" t="str">
        <f>IF(ISBLANK(C170),"",SUMIF($C$1:C170,C170,$I$1:I170))</f>
        <v/>
      </c>
    </row>
    <row r="171" spans="1:11" x14ac:dyDescent="0.25">
      <c r="A171" s="130">
        <v>202425169</v>
      </c>
      <c r="D171" s="19" t="str">
        <f>IF(ISBLANK(C171),"",VLOOKUP(C171,ADMISSION!B:N,2,FALSE))</f>
        <v/>
      </c>
      <c r="E171" s="2" t="str">
        <f>IF(ISBLANK(C171),"",VLOOKUP(C171,ADMISSION!B:N,9,0))</f>
        <v/>
      </c>
      <c r="F171" s="2" t="str">
        <f>IF(ISBLANK(C171),"",VLOOKUP(C171,ADMISSION!B:N,10,))</f>
        <v/>
      </c>
      <c r="G171" s="91" t="str">
        <f t="shared" si="4"/>
        <v/>
      </c>
      <c r="H171" s="91" t="str">
        <f>IF(ISBLANK(C171),"",G171-SUMIF($C$1:C170,C171,$I$1:I170))</f>
        <v/>
      </c>
      <c r="J171" s="91" t="str">
        <f t="shared" si="5"/>
        <v/>
      </c>
      <c r="K171" s="94" t="str">
        <f>IF(ISBLANK(C171),"",SUMIF($C$1:C171,C171,$I$1:I171))</f>
        <v/>
      </c>
    </row>
    <row r="172" spans="1:11" x14ac:dyDescent="0.25">
      <c r="A172" s="130">
        <v>202425170</v>
      </c>
      <c r="D172" s="19" t="str">
        <f>IF(ISBLANK(C172),"",VLOOKUP(C172,ADMISSION!B:N,2,FALSE))</f>
        <v/>
      </c>
      <c r="E172" s="2" t="str">
        <f>IF(ISBLANK(C172),"",VLOOKUP(C172,ADMISSION!B:N,9,0))</f>
        <v/>
      </c>
      <c r="F172" s="2" t="str">
        <f>IF(ISBLANK(C172),"",VLOOKUP(C172,ADMISSION!B:N,10,))</f>
        <v/>
      </c>
      <c r="G172" s="91" t="str">
        <f t="shared" si="4"/>
        <v/>
      </c>
      <c r="H172" s="91" t="str">
        <f>IF(ISBLANK(C172),"",G172-SUMIF($C$1:C171,C172,$I$1:I171))</f>
        <v/>
      </c>
      <c r="J172" s="91" t="str">
        <f t="shared" si="5"/>
        <v/>
      </c>
      <c r="K172" s="94" t="str">
        <f>IF(ISBLANK(C172),"",SUMIF($C$1:C172,C172,$I$1:I172))</f>
        <v/>
      </c>
    </row>
    <row r="173" spans="1:11" x14ac:dyDescent="0.25">
      <c r="A173" s="130">
        <v>202425171</v>
      </c>
      <c r="D173" s="19" t="str">
        <f>IF(ISBLANK(C173),"",VLOOKUP(C173,ADMISSION!B:N,2,FALSE))</f>
        <v/>
      </c>
      <c r="E173" s="2" t="str">
        <f>IF(ISBLANK(C173),"",VLOOKUP(C173,ADMISSION!B:N,9,0))</f>
        <v/>
      </c>
      <c r="F173" s="2" t="str">
        <f>IF(ISBLANK(C173),"",VLOOKUP(C173,ADMISSION!B:N,10,))</f>
        <v/>
      </c>
      <c r="G173" s="91" t="str">
        <f t="shared" si="4"/>
        <v/>
      </c>
      <c r="H173" s="91" t="str">
        <f>IF(ISBLANK(C173),"",G173-SUMIF($C$1:C172,C173,$I$1:I172))</f>
        <v/>
      </c>
      <c r="J173" s="91" t="str">
        <f t="shared" si="5"/>
        <v/>
      </c>
      <c r="K173" s="94" t="str">
        <f>IF(ISBLANK(C173),"",SUMIF($C$1:C173,C173,$I$1:I173))</f>
        <v/>
      </c>
    </row>
    <row r="174" spans="1:11" x14ac:dyDescent="0.25">
      <c r="A174" s="130">
        <v>202425172</v>
      </c>
      <c r="D174" s="19" t="str">
        <f>IF(ISBLANK(C174),"",VLOOKUP(C174,ADMISSION!B:N,2,FALSE))</f>
        <v/>
      </c>
      <c r="E174" s="2" t="str">
        <f>IF(ISBLANK(C174),"",VLOOKUP(C174,ADMISSION!B:N,9,0))</f>
        <v/>
      </c>
      <c r="F174" s="2" t="str">
        <f>IF(ISBLANK(C174),"",VLOOKUP(C174,ADMISSION!B:N,10,))</f>
        <v/>
      </c>
      <c r="G174" s="91" t="str">
        <f t="shared" si="4"/>
        <v/>
      </c>
      <c r="H174" s="91" t="str">
        <f>IF(ISBLANK(C174),"",G174-SUMIF($C$1:C173,C174,$I$1:I173))</f>
        <v/>
      </c>
      <c r="J174" s="91" t="str">
        <f t="shared" si="5"/>
        <v/>
      </c>
      <c r="K174" s="94" t="str">
        <f>IF(ISBLANK(C174),"",SUMIF($C$1:C174,C174,$I$1:I174))</f>
        <v/>
      </c>
    </row>
    <row r="175" spans="1:11" x14ac:dyDescent="0.25">
      <c r="A175" s="130">
        <v>202425173</v>
      </c>
      <c r="D175" s="19" t="str">
        <f>IF(ISBLANK(C175),"",VLOOKUP(C175,ADMISSION!B:N,2,FALSE))</f>
        <v/>
      </c>
      <c r="E175" s="2" t="str">
        <f>IF(ISBLANK(C175),"",VLOOKUP(C175,ADMISSION!B:N,9,0))</f>
        <v/>
      </c>
      <c r="F175" s="2" t="str">
        <f>IF(ISBLANK(C175),"",VLOOKUP(C175,ADMISSION!B:N,10,))</f>
        <v/>
      </c>
      <c r="G175" s="91" t="str">
        <f t="shared" si="4"/>
        <v/>
      </c>
      <c r="H175" s="91" t="str">
        <f>IF(ISBLANK(C175),"",G175-SUMIF($C$1:C174,C175,$I$1:I174))</f>
        <v/>
      </c>
      <c r="J175" s="91" t="str">
        <f t="shared" si="5"/>
        <v/>
      </c>
      <c r="K175" s="94" t="str">
        <f>IF(ISBLANK(C175),"",SUMIF($C$1:C175,C175,$I$1:I175))</f>
        <v/>
      </c>
    </row>
    <row r="176" spans="1:11" x14ac:dyDescent="0.25">
      <c r="A176" s="130">
        <v>202425174</v>
      </c>
      <c r="D176" s="19" t="str">
        <f>IF(ISBLANK(C176),"",VLOOKUP(C176,ADMISSION!B:N,2,FALSE))</f>
        <v/>
      </c>
      <c r="E176" s="2" t="str">
        <f>IF(ISBLANK(C176),"",VLOOKUP(C176,ADMISSION!B:N,9,0))</f>
        <v/>
      </c>
      <c r="F176" s="2" t="str">
        <f>IF(ISBLANK(C176),"",VLOOKUP(C176,ADMISSION!B:N,10,))</f>
        <v/>
      </c>
      <c r="G176" s="91" t="str">
        <f t="shared" si="4"/>
        <v/>
      </c>
      <c r="H176" s="91" t="str">
        <f>IF(ISBLANK(C176),"",G176-SUMIF($C$1:C175,C176,$I$1:I175))</f>
        <v/>
      </c>
      <c r="J176" s="91" t="str">
        <f t="shared" si="5"/>
        <v/>
      </c>
      <c r="K176" s="94" t="str">
        <f>IF(ISBLANK(C176),"",SUMIF($C$1:C176,C176,$I$1:I176))</f>
        <v/>
      </c>
    </row>
    <row r="177" spans="1:11" x14ac:dyDescent="0.25">
      <c r="A177" s="130">
        <v>202425175</v>
      </c>
      <c r="D177" s="19" t="str">
        <f>IF(ISBLANK(C177),"",VLOOKUP(C177,ADMISSION!B:N,2,FALSE))</f>
        <v/>
      </c>
      <c r="E177" s="2" t="str">
        <f>IF(ISBLANK(C177),"",VLOOKUP(C177,ADMISSION!B:N,9,0))</f>
        <v/>
      </c>
      <c r="F177" s="2" t="str">
        <f>IF(ISBLANK(C177),"",VLOOKUP(C177,ADMISSION!B:N,10,))</f>
        <v/>
      </c>
      <c r="G177" s="91" t="str">
        <f t="shared" si="4"/>
        <v/>
      </c>
      <c r="H177" s="91" t="str">
        <f>IF(ISBLANK(C177),"",G177-SUMIF($C$1:C176,C177,$I$1:I176))</f>
        <v/>
      </c>
      <c r="J177" s="91" t="str">
        <f t="shared" si="5"/>
        <v/>
      </c>
      <c r="K177" s="94" t="str">
        <f>IF(ISBLANK(C177),"",SUMIF($C$1:C177,C177,$I$1:I177))</f>
        <v/>
      </c>
    </row>
    <row r="178" spans="1:11" x14ac:dyDescent="0.25">
      <c r="A178" s="130">
        <v>202425176</v>
      </c>
      <c r="D178" s="19" t="str">
        <f>IF(ISBLANK(C178),"",VLOOKUP(C178,ADMISSION!B:N,2,FALSE))</f>
        <v/>
      </c>
      <c r="E178" s="2" t="str">
        <f>IF(ISBLANK(C178),"",VLOOKUP(C178,ADMISSION!B:N,9,0))</f>
        <v/>
      </c>
      <c r="F178" s="2" t="str">
        <f>IF(ISBLANK(C178),"",VLOOKUP(C178,ADMISSION!B:N,10,))</f>
        <v/>
      </c>
      <c r="G178" s="91" t="str">
        <f t="shared" si="4"/>
        <v/>
      </c>
      <c r="H178" s="91" t="str">
        <f>IF(ISBLANK(C178),"",G178-SUMIF($C$1:C177,C178,$I$1:I177))</f>
        <v/>
      </c>
      <c r="J178" s="91" t="str">
        <f t="shared" si="5"/>
        <v/>
      </c>
      <c r="K178" s="94" t="str">
        <f>IF(ISBLANK(C178),"",SUMIF($C$1:C178,C178,$I$1:I178))</f>
        <v/>
      </c>
    </row>
    <row r="179" spans="1:11" x14ac:dyDescent="0.25">
      <c r="A179" s="130">
        <v>202425177</v>
      </c>
      <c r="D179" s="19" t="str">
        <f>IF(ISBLANK(C179),"",VLOOKUP(C179,ADMISSION!B:N,2,FALSE))</f>
        <v/>
      </c>
      <c r="E179" s="2" t="str">
        <f>IF(ISBLANK(C179),"",VLOOKUP(C179,ADMISSION!B:N,9,0))</f>
        <v/>
      </c>
      <c r="F179" s="2" t="str">
        <f>IF(ISBLANK(C179),"",VLOOKUP(C179,ADMISSION!B:N,10,))</f>
        <v/>
      </c>
      <c r="G179" s="91" t="str">
        <f t="shared" si="4"/>
        <v/>
      </c>
      <c r="H179" s="91" t="str">
        <f>IF(ISBLANK(C179),"",G179-SUMIF($C$1:C178,C179,$I$1:I178))</f>
        <v/>
      </c>
      <c r="J179" s="91" t="str">
        <f t="shared" si="5"/>
        <v/>
      </c>
      <c r="K179" s="94" t="str">
        <f>IF(ISBLANK(C179),"",SUMIF($C$1:C179,C179,$I$1:I179))</f>
        <v/>
      </c>
    </row>
    <row r="180" spans="1:11" x14ac:dyDescent="0.25">
      <c r="A180" s="130">
        <v>202425178</v>
      </c>
      <c r="D180" s="19" t="str">
        <f>IF(ISBLANK(C180),"",VLOOKUP(C180,ADMISSION!B:N,2,FALSE))</f>
        <v/>
      </c>
      <c r="E180" s="2" t="str">
        <f>IF(ISBLANK(C180),"",VLOOKUP(C180,ADMISSION!B:N,9,0))</f>
        <v/>
      </c>
      <c r="F180" s="2" t="str">
        <f>IF(ISBLANK(C180),"",VLOOKUP(C180,ADMISSION!B:N,10,))</f>
        <v/>
      </c>
      <c r="G180" s="91" t="str">
        <f t="shared" si="4"/>
        <v/>
      </c>
      <c r="H180" s="91" t="str">
        <f>IF(ISBLANK(C180),"",G180-SUMIF($C$1:C179,C180,$I$1:I179))</f>
        <v/>
      </c>
      <c r="J180" s="91" t="str">
        <f t="shared" si="5"/>
        <v/>
      </c>
      <c r="K180" s="94" t="str">
        <f>IF(ISBLANK(C180),"",SUMIF($C$1:C180,C180,$I$1:I180))</f>
        <v/>
      </c>
    </row>
    <row r="181" spans="1:11" x14ac:dyDescent="0.25">
      <c r="A181" s="130">
        <v>202425179</v>
      </c>
      <c r="D181" s="19" t="str">
        <f>IF(ISBLANK(C181),"",VLOOKUP(C181,ADMISSION!B:N,2,FALSE))</f>
        <v/>
      </c>
      <c r="E181" s="2" t="str">
        <f>IF(ISBLANK(C181),"",VLOOKUP(C181,ADMISSION!B:N,9,0))</f>
        <v/>
      </c>
      <c r="F181" s="2" t="str">
        <f>IF(ISBLANK(C181),"",VLOOKUP(C181,ADMISSION!B:N,10,))</f>
        <v/>
      </c>
      <c r="G181" s="91" t="str">
        <f t="shared" si="4"/>
        <v/>
      </c>
      <c r="H181" s="91" t="str">
        <f>IF(ISBLANK(C181),"",G181-SUMIF($C$1:C180,C181,$I$1:I180))</f>
        <v/>
      </c>
      <c r="J181" s="91" t="str">
        <f t="shared" si="5"/>
        <v/>
      </c>
      <c r="K181" s="94" t="str">
        <f>IF(ISBLANK(C181),"",SUMIF($C$1:C181,C181,$I$1:I181))</f>
        <v/>
      </c>
    </row>
    <row r="182" spans="1:11" x14ac:dyDescent="0.25">
      <c r="A182" s="130">
        <v>202425180</v>
      </c>
      <c r="D182" s="19" t="str">
        <f>IF(ISBLANK(C182),"",VLOOKUP(C182,ADMISSION!B:N,2,FALSE))</f>
        <v/>
      </c>
      <c r="E182" s="2" t="str">
        <f>IF(ISBLANK(C182),"",VLOOKUP(C182,ADMISSION!B:N,9,0))</f>
        <v/>
      </c>
      <c r="F182" s="2" t="str">
        <f>IF(ISBLANK(C182),"",VLOOKUP(C182,ADMISSION!B:N,10,))</f>
        <v/>
      </c>
      <c r="G182" s="91" t="str">
        <f t="shared" si="4"/>
        <v/>
      </c>
      <c r="H182" s="91" t="str">
        <f>IF(ISBLANK(C182),"",G182-SUMIF($C$1:C181,C182,$I$1:I181))</f>
        <v/>
      </c>
      <c r="J182" s="91" t="str">
        <f t="shared" si="5"/>
        <v/>
      </c>
      <c r="K182" s="94" t="str">
        <f>IF(ISBLANK(C182),"",SUMIF($C$1:C182,C182,$I$1:I182))</f>
        <v/>
      </c>
    </row>
    <row r="183" spans="1:11" x14ac:dyDescent="0.25">
      <c r="A183" s="130">
        <v>202425181</v>
      </c>
      <c r="D183" s="19" t="str">
        <f>IF(ISBLANK(C183),"",VLOOKUP(C183,ADMISSION!B:N,2,FALSE))</f>
        <v/>
      </c>
      <c r="E183" s="2" t="str">
        <f>IF(ISBLANK(C183),"",VLOOKUP(C183,ADMISSION!B:N,9,0))</f>
        <v/>
      </c>
      <c r="F183" s="2" t="str">
        <f>IF(ISBLANK(C183),"",VLOOKUP(C183,ADMISSION!B:N,10,))</f>
        <v/>
      </c>
      <c r="G183" s="91" t="str">
        <f t="shared" si="4"/>
        <v/>
      </c>
      <c r="H183" s="91" t="str">
        <f>IF(ISBLANK(C183),"",G183-SUMIF($C$1:C182,C183,$I$1:I182))</f>
        <v/>
      </c>
      <c r="J183" s="91" t="str">
        <f t="shared" si="5"/>
        <v/>
      </c>
      <c r="K183" s="94" t="str">
        <f>IF(ISBLANK(C183),"",SUMIF($C$1:C183,C183,$I$1:I183))</f>
        <v/>
      </c>
    </row>
    <row r="184" spans="1:11" x14ac:dyDescent="0.25">
      <c r="A184" s="130">
        <v>202425182</v>
      </c>
      <c r="D184" s="19" t="str">
        <f>IF(ISBLANK(C184),"",VLOOKUP(C184,ADMISSION!B:N,2,FALSE))</f>
        <v/>
      </c>
      <c r="E184" s="2" t="str">
        <f>IF(ISBLANK(C184),"",VLOOKUP(C184,ADMISSION!B:N,9,0))</f>
        <v/>
      </c>
      <c r="F184" s="2" t="str">
        <f>IF(ISBLANK(C184),"",VLOOKUP(C184,ADMISSION!B:N,10,))</f>
        <v/>
      </c>
      <c r="G184" s="91" t="str">
        <f t="shared" si="4"/>
        <v/>
      </c>
      <c r="H184" s="91" t="str">
        <f>IF(ISBLANK(C184),"",G184-SUMIF($C$1:C183,C184,$I$1:I183))</f>
        <v/>
      </c>
      <c r="J184" s="91" t="str">
        <f t="shared" si="5"/>
        <v/>
      </c>
      <c r="K184" s="94" t="str">
        <f>IF(ISBLANK(C184),"",SUMIF($C$1:C184,C184,$I$1:I184))</f>
        <v/>
      </c>
    </row>
    <row r="185" spans="1:11" x14ac:dyDescent="0.25">
      <c r="A185" s="130">
        <v>202425183</v>
      </c>
      <c r="D185" s="19" t="str">
        <f>IF(ISBLANK(C185),"",VLOOKUP(C185,ADMISSION!B:N,2,FALSE))</f>
        <v/>
      </c>
      <c r="E185" s="2" t="str">
        <f>IF(ISBLANK(C185),"",VLOOKUP(C185,ADMISSION!B:N,9,0))</f>
        <v/>
      </c>
      <c r="F185" s="2" t="str">
        <f>IF(ISBLANK(C185),"",VLOOKUP(C185,ADMISSION!B:N,10,))</f>
        <v/>
      </c>
      <c r="G185" s="91" t="str">
        <f t="shared" si="4"/>
        <v/>
      </c>
      <c r="H185" s="91" t="str">
        <f>IF(ISBLANK(C185),"",G185-SUMIF($C$1:C184,C185,$I$1:I184))</f>
        <v/>
      </c>
      <c r="J185" s="91" t="str">
        <f t="shared" si="5"/>
        <v/>
      </c>
      <c r="K185" s="94" t="str">
        <f>IF(ISBLANK(C185),"",SUMIF($C$1:C185,C185,$I$1:I185))</f>
        <v/>
      </c>
    </row>
    <row r="186" spans="1:11" x14ac:dyDescent="0.25">
      <c r="A186" s="130">
        <v>202425184</v>
      </c>
      <c r="D186" s="19" t="str">
        <f>IF(ISBLANK(C186),"",VLOOKUP(C186,ADMISSION!B:N,2,FALSE))</f>
        <v/>
      </c>
      <c r="E186" s="2" t="str">
        <f>IF(ISBLANK(C186),"",VLOOKUP(C186,ADMISSION!B:N,9,0))</f>
        <v/>
      </c>
      <c r="F186" s="2" t="str">
        <f>IF(ISBLANK(C186),"",VLOOKUP(C186,ADMISSION!B:N,10,))</f>
        <v/>
      </c>
      <c r="G186" s="91" t="str">
        <f t="shared" si="4"/>
        <v/>
      </c>
      <c r="H186" s="91" t="str">
        <f>IF(ISBLANK(C186),"",G186-SUMIF($C$1:C185,C186,$I$1:I185))</f>
        <v/>
      </c>
      <c r="J186" s="91" t="str">
        <f t="shared" si="5"/>
        <v/>
      </c>
      <c r="K186" s="94" t="str">
        <f>IF(ISBLANK(C186),"",SUMIF($C$1:C186,C186,$I$1:I186))</f>
        <v/>
      </c>
    </row>
    <row r="187" spans="1:11" x14ac:dyDescent="0.25">
      <c r="A187" s="130">
        <v>202425185</v>
      </c>
      <c r="D187" s="19" t="str">
        <f>IF(ISBLANK(C187),"",VLOOKUP(C187,ADMISSION!B:N,2,FALSE))</f>
        <v/>
      </c>
      <c r="E187" s="2" t="str">
        <f>IF(ISBLANK(C187),"",VLOOKUP(C187,ADMISSION!B:N,9,0))</f>
        <v/>
      </c>
      <c r="F187" s="2" t="str">
        <f>IF(ISBLANK(C187),"",VLOOKUP(C187,ADMISSION!B:N,10,))</f>
        <v/>
      </c>
      <c r="G187" s="91" t="str">
        <f t="shared" si="4"/>
        <v/>
      </c>
      <c r="H187" s="91" t="str">
        <f>IF(ISBLANK(C187),"",G187-SUMIF($C$1:C186,C187,$I$1:I186))</f>
        <v/>
      </c>
      <c r="J187" s="91" t="str">
        <f t="shared" si="5"/>
        <v/>
      </c>
      <c r="K187" s="94" t="str">
        <f>IF(ISBLANK(C187),"",SUMIF($C$1:C187,C187,$I$1:I187))</f>
        <v/>
      </c>
    </row>
    <row r="188" spans="1:11" x14ac:dyDescent="0.25">
      <c r="A188" s="130">
        <v>202425186</v>
      </c>
      <c r="D188" s="19" t="str">
        <f>IF(ISBLANK(C188),"",VLOOKUP(C188,ADMISSION!B:N,2,FALSE))</f>
        <v/>
      </c>
      <c r="E188" s="2" t="str">
        <f>IF(ISBLANK(C188),"",VLOOKUP(C188,ADMISSION!B:N,9,0))</f>
        <v/>
      </c>
      <c r="F188" s="2" t="str">
        <f>IF(ISBLANK(C188),"",VLOOKUP(C188,ADMISSION!B:N,10,))</f>
        <v/>
      </c>
      <c r="G188" s="91" t="str">
        <f t="shared" si="4"/>
        <v/>
      </c>
      <c r="H188" s="91" t="str">
        <f>IF(ISBLANK(C188),"",G188-SUMIF($C$1:C187,C188,$I$1:I187))</f>
        <v/>
      </c>
      <c r="J188" s="91" t="str">
        <f t="shared" si="5"/>
        <v/>
      </c>
      <c r="K188" s="94" t="str">
        <f>IF(ISBLANK(C188),"",SUMIF($C$1:C188,C188,$I$1:I188))</f>
        <v/>
      </c>
    </row>
    <row r="189" spans="1:11" x14ac:dyDescent="0.25">
      <c r="A189" s="130">
        <v>202425187</v>
      </c>
      <c r="D189" s="19" t="str">
        <f>IF(ISBLANK(C189),"",VLOOKUP(C189,ADMISSION!B:N,2,FALSE))</f>
        <v/>
      </c>
      <c r="E189" s="2" t="str">
        <f>IF(ISBLANK(C189),"",VLOOKUP(C189,ADMISSION!B:N,9,0))</f>
        <v/>
      </c>
      <c r="F189" s="2" t="str">
        <f>IF(ISBLANK(C189),"",VLOOKUP(C189,ADMISSION!B:N,10,))</f>
        <v/>
      </c>
      <c r="G189" s="91" t="str">
        <f t="shared" si="4"/>
        <v/>
      </c>
      <c r="H189" s="91" t="str">
        <f>IF(ISBLANK(C189),"",G189-SUMIF($C$1:C188,C189,$I$1:I188))</f>
        <v/>
      </c>
      <c r="J189" s="91" t="str">
        <f t="shared" si="5"/>
        <v/>
      </c>
      <c r="K189" s="94" t="str">
        <f>IF(ISBLANK(C189),"",SUMIF($C$1:C189,C189,$I$1:I189))</f>
        <v/>
      </c>
    </row>
    <row r="190" spans="1:11" x14ac:dyDescent="0.25">
      <c r="A190" s="130">
        <v>202425188</v>
      </c>
      <c r="D190" s="19" t="str">
        <f>IF(ISBLANK(C190),"",VLOOKUP(C190,ADMISSION!B:N,2,FALSE))</f>
        <v/>
      </c>
      <c r="E190" s="2" t="str">
        <f>IF(ISBLANK(C190),"",VLOOKUP(C190,ADMISSION!B:N,9,0))</f>
        <v/>
      </c>
      <c r="F190" s="2" t="str">
        <f>IF(ISBLANK(C190),"",VLOOKUP(C190,ADMISSION!B:N,10,))</f>
        <v/>
      </c>
      <c r="G190" s="91" t="str">
        <f t="shared" si="4"/>
        <v/>
      </c>
      <c r="H190" s="91" t="str">
        <f>IF(ISBLANK(C190),"",G190-SUMIF($C$1:C189,C190,$I$1:I189))</f>
        <v/>
      </c>
      <c r="J190" s="91" t="str">
        <f t="shared" si="5"/>
        <v/>
      </c>
      <c r="K190" s="94" t="str">
        <f>IF(ISBLANK(C190),"",SUMIF($C$1:C190,C190,$I$1:I190))</f>
        <v/>
      </c>
    </row>
    <row r="191" spans="1:11" x14ac:dyDescent="0.25">
      <c r="A191" s="130">
        <v>202425189</v>
      </c>
      <c r="D191" s="19" t="str">
        <f>IF(ISBLANK(C191),"",VLOOKUP(C191,ADMISSION!B:N,2,FALSE))</f>
        <v/>
      </c>
      <c r="E191" s="2" t="str">
        <f>IF(ISBLANK(C191),"",VLOOKUP(C191,ADMISSION!B:N,9,0))</f>
        <v/>
      </c>
      <c r="F191" s="2" t="str">
        <f>IF(ISBLANK(C191),"",VLOOKUP(C191,ADMISSION!B:N,10,))</f>
        <v/>
      </c>
      <c r="G191" s="91" t="str">
        <f t="shared" si="4"/>
        <v/>
      </c>
      <c r="H191" s="91" t="str">
        <f>IF(ISBLANK(C191),"",G191-SUMIF($C$1:C190,C191,$I$1:I190))</f>
        <v/>
      </c>
      <c r="J191" s="91" t="str">
        <f t="shared" si="5"/>
        <v/>
      </c>
      <c r="K191" s="94" t="str">
        <f>IF(ISBLANK(C191),"",SUMIF($C$1:C191,C191,$I$1:I191))</f>
        <v/>
      </c>
    </row>
    <row r="192" spans="1:11" x14ac:dyDescent="0.25">
      <c r="A192" s="130">
        <v>202425190</v>
      </c>
      <c r="D192" s="19" t="str">
        <f>IF(ISBLANK(C192),"",VLOOKUP(C192,ADMISSION!B:N,2,FALSE))</f>
        <v/>
      </c>
      <c r="E192" s="2" t="str">
        <f>IF(ISBLANK(C192),"",VLOOKUP(C192,ADMISSION!B:N,9,0))</f>
        <v/>
      </c>
      <c r="F192" s="2" t="str">
        <f>IF(ISBLANK(C192),"",VLOOKUP(C192,ADMISSION!B:N,10,))</f>
        <v/>
      </c>
      <c r="G192" s="91" t="str">
        <f t="shared" si="4"/>
        <v/>
      </c>
      <c r="H192" s="91" t="str">
        <f>IF(ISBLANK(C192),"",G192-SUMIF($C$1:C191,C192,$I$1:I191))</f>
        <v/>
      </c>
      <c r="J192" s="91" t="str">
        <f t="shared" si="5"/>
        <v/>
      </c>
      <c r="K192" s="94" t="str">
        <f>IF(ISBLANK(C192),"",SUMIF($C$1:C192,C192,$I$1:I192))</f>
        <v/>
      </c>
    </row>
    <row r="193" spans="1:11" x14ac:dyDescent="0.25">
      <c r="A193" s="130">
        <v>202425191</v>
      </c>
      <c r="D193" s="19" t="str">
        <f>IF(ISBLANK(C193),"",VLOOKUP(C193,ADMISSION!B:N,2,FALSE))</f>
        <v/>
      </c>
      <c r="E193" s="2" t="str">
        <f>IF(ISBLANK(C193),"",VLOOKUP(C193,ADMISSION!B:N,9,0))</f>
        <v/>
      </c>
      <c r="F193" s="2" t="str">
        <f>IF(ISBLANK(C193),"",VLOOKUP(C193,ADMISSION!B:N,10,))</f>
        <v/>
      </c>
      <c r="G193" s="91" t="str">
        <f t="shared" si="4"/>
        <v/>
      </c>
      <c r="H193" s="91" t="str">
        <f>IF(ISBLANK(C193),"",G193-SUMIF($C$1:C192,C193,$I$1:I192))</f>
        <v/>
      </c>
      <c r="J193" s="91" t="str">
        <f t="shared" si="5"/>
        <v/>
      </c>
      <c r="K193" s="94" t="str">
        <f>IF(ISBLANK(C193),"",SUMIF($C$1:C193,C193,$I$1:I193))</f>
        <v/>
      </c>
    </row>
    <row r="194" spans="1:11" x14ac:dyDescent="0.25">
      <c r="A194" s="130">
        <v>202425192</v>
      </c>
      <c r="D194" s="19" t="str">
        <f>IF(ISBLANK(C194),"",VLOOKUP(C194,ADMISSION!B:N,2,FALSE))</f>
        <v/>
      </c>
      <c r="E194" s="2" t="str">
        <f>IF(ISBLANK(C194),"",VLOOKUP(C194,ADMISSION!B:N,9,0))</f>
        <v/>
      </c>
      <c r="F194" s="2" t="str">
        <f>IF(ISBLANK(C194),"",VLOOKUP(C194,ADMISSION!B:N,10,))</f>
        <v/>
      </c>
      <c r="G194" s="91" t="str">
        <f t="shared" si="4"/>
        <v/>
      </c>
      <c r="H194" s="91" t="str">
        <f>IF(ISBLANK(C194),"",G194-SUMIF($C$1:C193,C194,$I$1:I193))</f>
        <v/>
      </c>
      <c r="J194" s="91" t="str">
        <f t="shared" si="5"/>
        <v/>
      </c>
      <c r="K194" s="94" t="str">
        <f>IF(ISBLANK(C194),"",SUMIF($C$1:C194,C194,$I$1:I194))</f>
        <v/>
      </c>
    </row>
    <row r="195" spans="1:11" x14ac:dyDescent="0.25">
      <c r="A195" s="130">
        <v>202425193</v>
      </c>
      <c r="D195" s="19" t="str">
        <f>IF(ISBLANK(C195),"",VLOOKUP(C195,ADMISSION!B:N,2,FALSE))</f>
        <v/>
      </c>
      <c r="E195" s="2" t="str">
        <f>IF(ISBLANK(C195),"",VLOOKUP(C195,ADMISSION!B:N,9,0))</f>
        <v/>
      </c>
      <c r="F195" s="2" t="str">
        <f>IF(ISBLANK(C195),"",VLOOKUP(C195,ADMISSION!B:N,10,))</f>
        <v/>
      </c>
      <c r="G195" s="91" t="str">
        <f t="shared" si="4"/>
        <v/>
      </c>
      <c r="H195" s="91" t="str">
        <f>IF(ISBLANK(C195),"",G195-SUMIF($C$1:C194,C195,$I$1:I194))</f>
        <v/>
      </c>
      <c r="J195" s="91" t="str">
        <f t="shared" si="5"/>
        <v/>
      </c>
      <c r="K195" s="94" t="str">
        <f>IF(ISBLANK(C195),"",SUMIF($C$1:C195,C195,$I$1:I195))</f>
        <v/>
      </c>
    </row>
    <row r="196" spans="1:11" x14ac:dyDescent="0.25">
      <c r="A196" s="130">
        <v>202425194</v>
      </c>
      <c r="D196" s="19" t="str">
        <f>IF(ISBLANK(C196),"",VLOOKUP(C196,ADMISSION!B:N,2,FALSE))</f>
        <v/>
      </c>
      <c r="E196" s="2" t="str">
        <f>IF(ISBLANK(C196),"",VLOOKUP(C196,ADMISSION!B:N,9,0))</f>
        <v/>
      </c>
      <c r="F196" s="2" t="str">
        <f>IF(ISBLANK(C196),"",VLOOKUP(C196,ADMISSION!B:N,10,))</f>
        <v/>
      </c>
      <c r="G196" s="91" t="str">
        <f t="shared" ref="G196:G202" si="6">IF(ISBLANK(C196),"",E196-F196)</f>
        <v/>
      </c>
      <c r="H196" s="91" t="str">
        <f>IF(ISBLANK(C196),"",G196-SUMIF($C$1:C195,C196,$I$1:I195))</f>
        <v/>
      </c>
      <c r="J196" s="91" t="str">
        <f t="shared" ref="J196:J202" si="7">IF(ISBLANK(C196),"",G196-K196)</f>
        <v/>
      </c>
      <c r="K196" s="94" t="str">
        <f>IF(ISBLANK(C196),"",SUMIF($C$1:C196,C196,$I$1:I196))</f>
        <v/>
      </c>
    </row>
    <row r="197" spans="1:11" x14ac:dyDescent="0.25">
      <c r="A197" s="130">
        <v>202425195</v>
      </c>
      <c r="D197" s="19" t="str">
        <f>IF(ISBLANK(C197),"",VLOOKUP(C197,ADMISSION!B:N,2,FALSE))</f>
        <v/>
      </c>
      <c r="E197" s="2" t="str">
        <f>IF(ISBLANK(C197),"",VLOOKUP(C197,ADMISSION!B:N,9,0))</f>
        <v/>
      </c>
      <c r="F197" s="2" t="str">
        <f>IF(ISBLANK(C197),"",VLOOKUP(C197,ADMISSION!B:N,10,))</f>
        <v/>
      </c>
      <c r="G197" s="91" t="str">
        <f t="shared" si="6"/>
        <v/>
      </c>
      <c r="H197" s="91" t="str">
        <f>IF(ISBLANK(C197),"",G197-SUMIF($C$1:C196,C197,$I$1:I196))</f>
        <v/>
      </c>
      <c r="J197" s="91" t="str">
        <f t="shared" si="7"/>
        <v/>
      </c>
      <c r="K197" s="94" t="str">
        <f>IF(ISBLANK(C197),"",SUMIF($C$1:C197,C197,$I$1:I197))</f>
        <v/>
      </c>
    </row>
    <row r="198" spans="1:11" x14ac:dyDescent="0.25">
      <c r="A198" s="130">
        <v>202425196</v>
      </c>
      <c r="D198" s="19" t="str">
        <f>IF(ISBLANK(C198),"",VLOOKUP(C198,ADMISSION!B:N,2,FALSE))</f>
        <v/>
      </c>
      <c r="E198" s="2" t="str">
        <f>IF(ISBLANK(C198),"",VLOOKUP(C198,ADMISSION!B:N,9,0))</f>
        <v/>
      </c>
      <c r="F198" s="2" t="str">
        <f>IF(ISBLANK(C198),"",VLOOKUP(C198,ADMISSION!B:N,10,))</f>
        <v/>
      </c>
      <c r="G198" s="91" t="str">
        <f t="shared" si="6"/>
        <v/>
      </c>
      <c r="H198" s="91" t="str">
        <f>IF(ISBLANK(C198),"",G198-SUMIF($C$1:C197,C198,$I$1:I197))</f>
        <v/>
      </c>
      <c r="J198" s="91" t="str">
        <f t="shared" si="7"/>
        <v/>
      </c>
      <c r="K198" s="94" t="str">
        <f>IF(ISBLANK(C198),"",SUMIF($C$1:C198,C198,$I$1:I198))</f>
        <v/>
      </c>
    </row>
    <row r="199" spans="1:11" x14ac:dyDescent="0.25">
      <c r="A199" s="130">
        <v>202425197</v>
      </c>
      <c r="D199" s="19" t="str">
        <f>IF(ISBLANK(C199),"",VLOOKUP(C199,ADMISSION!B:N,2,FALSE))</f>
        <v/>
      </c>
      <c r="E199" s="2" t="str">
        <f>IF(ISBLANK(C199),"",VLOOKUP(C199,ADMISSION!B:N,9,0))</f>
        <v/>
      </c>
      <c r="F199" s="2" t="str">
        <f>IF(ISBLANK(C199),"",VLOOKUP(C199,ADMISSION!B:N,10,))</f>
        <v/>
      </c>
      <c r="G199" s="91" t="str">
        <f t="shared" si="6"/>
        <v/>
      </c>
      <c r="H199" s="91" t="str">
        <f>IF(ISBLANK(C199),"",G199-SUMIF($C$1:C198,C199,$I$1:I198))</f>
        <v/>
      </c>
      <c r="J199" s="91" t="str">
        <f t="shared" si="7"/>
        <v/>
      </c>
      <c r="K199" s="94" t="str">
        <f>IF(ISBLANK(C199),"",SUMIF($C$1:C199,C199,$I$1:I199))</f>
        <v/>
      </c>
    </row>
    <row r="200" spans="1:11" x14ac:dyDescent="0.25">
      <c r="A200" s="130">
        <v>202425198</v>
      </c>
      <c r="D200" s="19" t="str">
        <f>IF(ISBLANK(C200),"",VLOOKUP(C200,ADMISSION!B:N,2,FALSE))</f>
        <v/>
      </c>
      <c r="E200" s="2" t="str">
        <f>IF(ISBLANK(C200),"",VLOOKUP(C200,ADMISSION!B:N,9,0))</f>
        <v/>
      </c>
      <c r="F200" s="2" t="str">
        <f>IF(ISBLANK(C200),"",VLOOKUP(C200,ADMISSION!B:N,10,))</f>
        <v/>
      </c>
      <c r="G200" s="91" t="str">
        <f t="shared" si="6"/>
        <v/>
      </c>
      <c r="H200" s="91" t="str">
        <f>IF(ISBLANK(C200),"",G200-SUMIF($C$1:C199,C200,$I$1:I199))</f>
        <v/>
      </c>
      <c r="J200" s="91" t="str">
        <f t="shared" si="7"/>
        <v/>
      </c>
      <c r="K200" s="94" t="str">
        <f>IF(ISBLANK(C200),"",SUMIF($C$1:C200,C200,$I$1:I200))</f>
        <v/>
      </c>
    </row>
    <row r="201" spans="1:11" x14ac:dyDescent="0.25">
      <c r="A201" s="130">
        <v>202425199</v>
      </c>
      <c r="D201" s="19" t="str">
        <f>IF(ISBLANK(C201),"",VLOOKUP(C201,ADMISSION!B:N,2,FALSE))</f>
        <v/>
      </c>
      <c r="E201" s="2" t="str">
        <f>IF(ISBLANK(C201),"",VLOOKUP(C201,ADMISSION!B:N,9,0))</f>
        <v/>
      </c>
      <c r="F201" s="2" t="str">
        <f>IF(ISBLANK(C201),"",VLOOKUP(C201,ADMISSION!B:N,10,))</f>
        <v/>
      </c>
      <c r="G201" s="91" t="str">
        <f t="shared" si="6"/>
        <v/>
      </c>
      <c r="H201" s="91" t="str">
        <f>IF(ISBLANK(C201),"",G201-SUMIF($C$1:C200,C201,$I$1:I200))</f>
        <v/>
      </c>
      <c r="J201" s="91" t="str">
        <f t="shared" si="7"/>
        <v/>
      </c>
      <c r="K201" s="94" t="str">
        <f>IF(ISBLANK(C201),"",SUMIF($C$1:C201,C201,$I$1:I201))</f>
        <v/>
      </c>
    </row>
    <row r="202" spans="1:11" ht="15.75" thickBot="1" x14ac:dyDescent="0.3">
      <c r="A202" s="131">
        <v>202425200</v>
      </c>
      <c r="B202" s="20"/>
      <c r="C202" s="21"/>
      <c r="D202" s="19" t="str">
        <f>IF(ISBLANK(C202),"",VLOOKUP(C202,ADMISSION!B:N,2,FALSE))</f>
        <v/>
      </c>
      <c r="E202" s="2" t="str">
        <f>IF(ISBLANK(C202),"",VLOOKUP(C202,ADMISSION!B:N,9,0))</f>
        <v/>
      </c>
      <c r="F202" s="2" t="str">
        <f>IF(ISBLANK(C202),"",VLOOKUP(C202,ADMISSION!B:N,10,))</f>
        <v/>
      </c>
      <c r="G202" s="91" t="str">
        <f t="shared" si="6"/>
        <v/>
      </c>
      <c r="H202" s="91" t="str">
        <f>IF(ISBLANK(C202),"",G202-SUMIF($C$1:C201,C202,$I$1:I201))</f>
        <v/>
      </c>
      <c r="I202" s="95"/>
      <c r="J202" s="91" t="str">
        <f t="shared" si="7"/>
        <v/>
      </c>
      <c r="K202" s="94" t="str">
        <f>IF(ISBLANK(C202),"",SUMIF($C$1:C202,C202,$I$1:I202))</f>
        <v/>
      </c>
    </row>
    <row r="203" spans="1:11" ht="15.75" thickBot="1" x14ac:dyDescent="0.3">
      <c r="C203" s="112" t="s">
        <v>28</v>
      </c>
      <c r="E203" s="7"/>
      <c r="F203" s="7"/>
      <c r="G203" s="92"/>
      <c r="H203" s="92"/>
      <c r="I203" s="96">
        <f>SUBTOTAL(9,I3:I202)</f>
        <v>0</v>
      </c>
      <c r="J203" s="92"/>
      <c r="K203" s="97"/>
    </row>
  </sheetData>
  <sheetProtection selectLockedCells="1"/>
  <phoneticPr fontId="8" type="noConversion"/>
  <conditionalFormatting sqref="J1 J3:J1048576">
    <cfRule type="cellIs" dxfId="1" priority="1" operator="greaterThan">
      <formula>0</formula>
    </cfRule>
    <cfRule type="cellIs" dxfId="0" priority="2" operator="equal">
      <formula>0</formula>
    </cfRule>
  </conditionalFormatting>
  <dataValidations count="1">
    <dataValidation type="list" allowBlank="1" showInputMessage="1" showErrorMessage="1" sqref="N2" xr:uid="{00000000-0002-0000-0100-000000000000}">
      <formula1>"kg,1st,2nd,3rd,4th,5th,6th,7th,8th,9th,10th,11th,12th"</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2000000}">
          <x14:formula1>
            <xm:f>ADMISSION!$B$2:$B$101</xm:f>
          </x14:formula1>
          <xm:sqref>M30 N38 C3:C1048576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4A9C9-2ABC-49B5-B1A2-D936B3C4A24D}">
  <sheetPr codeName="Sheet3">
    <pageSetUpPr fitToPage="1"/>
  </sheetPr>
  <dimension ref="A1:Q23"/>
  <sheetViews>
    <sheetView zoomScale="80" zoomScaleNormal="80" zoomScalePageLayoutView="73" workbookViewId="0">
      <selection activeCell="Q12" sqref="Q12"/>
    </sheetView>
  </sheetViews>
  <sheetFormatPr defaultRowHeight="15" x14ac:dyDescent="0.25"/>
  <cols>
    <col min="1" max="1" width="4.85546875" customWidth="1"/>
    <col min="2" max="2" width="13.42578125" customWidth="1"/>
    <col min="3" max="5" width="12.7109375" customWidth="1"/>
    <col min="6" max="6" width="15.140625" bestFit="1" customWidth="1"/>
    <col min="7" max="7" width="9.7109375" customWidth="1"/>
    <col min="8" max="8" width="11" customWidth="1"/>
    <col min="9" max="9" width="10.140625" customWidth="1"/>
    <col min="10" max="10" width="16.85546875" customWidth="1"/>
    <col min="11" max="11" width="8.5703125" customWidth="1"/>
    <col min="12" max="12" width="6.42578125" customWidth="1"/>
  </cols>
  <sheetData>
    <row r="1" spans="1:17" ht="15" customHeight="1" thickBot="1" x14ac:dyDescent="0.3">
      <c r="A1" s="105"/>
      <c r="B1" s="105"/>
      <c r="C1" s="15"/>
      <c r="D1" s="15"/>
      <c r="E1" s="15"/>
      <c r="F1" s="15"/>
      <c r="G1" s="15"/>
      <c r="H1" s="15"/>
    </row>
    <row r="2" spans="1:17" ht="21.95" customHeight="1" x14ac:dyDescent="0.25">
      <c r="A2" s="105"/>
      <c r="B2" s="145" t="s">
        <v>41</v>
      </c>
      <c r="C2" s="146"/>
      <c r="D2" s="146"/>
      <c r="E2" s="146"/>
      <c r="F2" s="146"/>
      <c r="G2" s="146"/>
      <c r="H2" s="146"/>
      <c r="I2" s="146"/>
      <c r="J2" s="147"/>
    </row>
    <row r="3" spans="1:17" ht="21.95" customHeight="1" x14ac:dyDescent="0.25">
      <c r="A3" s="105"/>
      <c r="B3" s="148"/>
      <c r="C3" s="149"/>
      <c r="D3" s="149"/>
      <c r="E3" s="149"/>
      <c r="F3" s="149"/>
      <c r="G3" s="149"/>
      <c r="H3" s="149"/>
      <c r="I3" s="149"/>
      <c r="J3" s="150"/>
    </row>
    <row r="4" spans="1:17" ht="21.95" customHeight="1" thickBot="1" x14ac:dyDescent="0.3">
      <c r="A4" s="14"/>
      <c r="B4" s="148"/>
      <c r="C4" s="149"/>
      <c r="D4" s="149"/>
      <c r="E4" s="149"/>
      <c r="F4" s="149"/>
      <c r="G4" s="149"/>
      <c r="H4" s="149"/>
      <c r="I4" s="149"/>
      <c r="J4" s="150"/>
    </row>
    <row r="5" spans="1:17" ht="21.95" customHeight="1" thickBot="1" x14ac:dyDescent="0.3">
      <c r="A5" s="14"/>
      <c r="B5" s="142" t="s">
        <v>40</v>
      </c>
      <c r="C5" s="143"/>
      <c r="D5" s="143"/>
      <c r="E5" s="143"/>
      <c r="F5" s="144"/>
      <c r="G5" s="151" t="s">
        <v>42</v>
      </c>
      <c r="H5" s="152"/>
      <c r="I5" s="152"/>
      <c r="J5" s="153"/>
    </row>
    <row r="6" spans="1:17" ht="21.95" customHeight="1" thickBot="1" x14ac:dyDescent="0.3">
      <c r="A6" s="13"/>
      <c r="B6" s="139" t="s">
        <v>39</v>
      </c>
      <c r="C6" s="140"/>
      <c r="D6" s="140"/>
      <c r="E6" s="140"/>
      <c r="F6" s="141"/>
      <c r="G6" s="154"/>
      <c r="H6" s="155"/>
      <c r="I6" s="155"/>
      <c r="J6" s="156"/>
    </row>
    <row r="7" spans="1:17" ht="26.25" customHeight="1" thickBot="1" x14ac:dyDescent="0.3">
      <c r="A7" s="108"/>
      <c r="B7" s="157" t="s">
        <v>43</v>
      </c>
      <c r="C7" s="158"/>
      <c r="D7" s="158"/>
      <c r="E7" s="158"/>
      <c r="F7" s="158"/>
      <c r="G7" s="158"/>
      <c r="H7" s="158"/>
      <c r="I7" s="158"/>
      <c r="J7" s="159"/>
      <c r="K7" s="105"/>
      <c r="L7" s="15"/>
      <c r="M7" s="15"/>
      <c r="N7" s="15"/>
      <c r="O7" s="15"/>
      <c r="P7" s="15"/>
      <c r="Q7" s="15"/>
    </row>
    <row r="8" spans="1:17" ht="21.95" customHeight="1" thickTop="1" x14ac:dyDescent="0.25">
      <c r="B8" s="30"/>
      <c r="C8" s="27"/>
      <c r="D8" s="27"/>
      <c r="E8" s="12"/>
      <c r="F8" s="12"/>
      <c r="G8" s="23"/>
      <c r="H8" s="24"/>
      <c r="I8" s="24"/>
      <c r="J8" s="31"/>
      <c r="K8" s="105"/>
      <c r="L8" s="106"/>
      <c r="M8" s="15"/>
      <c r="N8" s="15"/>
      <c r="O8" s="15"/>
      <c r="P8" s="15"/>
      <c r="Q8" s="15"/>
    </row>
    <row r="9" spans="1:17" ht="21.95" customHeight="1" x14ac:dyDescent="0.25">
      <c r="B9" s="169" t="s">
        <v>30</v>
      </c>
      <c r="C9" s="170"/>
      <c r="D9" s="161">
        <v>202425004</v>
      </c>
      <c r="E9" s="161"/>
      <c r="F9" s="109"/>
      <c r="G9" s="110"/>
      <c r="H9" s="107" t="s">
        <v>23</v>
      </c>
      <c r="I9" s="167">
        <f>VLOOKUP($D$9,'FEE ENTRY'!$A:$K,2,FALSE)</f>
        <v>0</v>
      </c>
      <c r="J9" s="168"/>
      <c r="K9" s="105"/>
      <c r="L9" s="15"/>
      <c r="M9" s="15"/>
      <c r="N9" s="15"/>
      <c r="O9" s="15"/>
      <c r="P9" s="15"/>
      <c r="Q9" s="15"/>
    </row>
    <row r="10" spans="1:17" ht="21.95" customHeight="1" x14ac:dyDescent="0.35">
      <c r="B10" s="171" t="s">
        <v>24</v>
      </c>
      <c r="C10" s="172"/>
      <c r="D10" s="164">
        <f>VLOOKUP($D$9,'FEE ENTRY'!$A:$K,3)</f>
        <v>0</v>
      </c>
      <c r="E10" s="164"/>
      <c r="F10" s="164"/>
      <c r="G10" s="164"/>
      <c r="H10" s="107" t="s">
        <v>44</v>
      </c>
      <c r="I10" s="165" t="e">
        <f>VLOOKUP($D$10,ADMISSION!$B$2:$D$101,3,0)</f>
        <v>#N/A</v>
      </c>
      <c r="J10" s="166"/>
      <c r="K10" s="14"/>
      <c r="L10" s="14"/>
      <c r="M10" s="160"/>
      <c r="N10" s="160"/>
      <c r="O10" s="16"/>
      <c r="P10" s="16"/>
      <c r="Q10" s="16"/>
    </row>
    <row r="11" spans="1:17" ht="21.95" customHeight="1" x14ac:dyDescent="0.25">
      <c r="B11" s="162" t="s">
        <v>25</v>
      </c>
      <c r="C11" s="163"/>
      <c r="D11" s="34" t="str">
        <f>VLOOKUP($D$9,'FEE ENTRY'!$A:$K,4)</f>
        <v/>
      </c>
      <c r="E11" s="34"/>
      <c r="F11" s="28"/>
      <c r="G11" s="28"/>
      <c r="H11" s="23"/>
      <c r="I11" s="23"/>
      <c r="J11" s="35"/>
      <c r="K11" s="14"/>
      <c r="L11" s="14"/>
      <c r="M11" s="14"/>
      <c r="N11" s="14"/>
      <c r="O11" s="16"/>
      <c r="P11" s="16"/>
      <c r="Q11" s="16"/>
    </row>
    <row r="12" spans="1:17" ht="21.95" customHeight="1" x14ac:dyDescent="0.25">
      <c r="B12" s="4"/>
      <c r="J12" s="5"/>
      <c r="N12" s="13"/>
      <c r="O12" s="13"/>
      <c r="P12" s="13"/>
      <c r="Q12" s="13"/>
    </row>
    <row r="13" spans="1:17" ht="21.95" customHeight="1" x14ac:dyDescent="0.4">
      <c r="B13" s="98" t="s">
        <v>26</v>
      </c>
      <c r="C13" s="99" t="str">
        <f>VLOOKUP($D$9,'FEE ENTRY'!$A:$K,5,)</f>
        <v/>
      </c>
      <c r="D13" s="133" t="s">
        <v>34</v>
      </c>
      <c r="E13" s="133"/>
      <c r="F13" s="100" t="str">
        <f>VLOOKUP($D$9,'FEE ENTRY'!$A:$K,8)</f>
        <v/>
      </c>
      <c r="J13" s="5"/>
      <c r="M13" s="34"/>
      <c r="N13" s="34"/>
      <c r="O13" s="12"/>
      <c r="P13" s="17"/>
      <c r="Q13" s="17"/>
    </row>
    <row r="14" spans="1:17" ht="21.95" customHeight="1" x14ac:dyDescent="0.4">
      <c r="B14" s="98" t="s">
        <v>38</v>
      </c>
      <c r="C14" s="99" t="str">
        <f>VLOOKUP($D$9,'FEE ENTRY'!$A:$K,6)</f>
        <v/>
      </c>
      <c r="D14" s="133" t="s">
        <v>36</v>
      </c>
      <c r="E14" s="133"/>
      <c r="F14" s="100">
        <f>VLOOKUP($D$9,'FEE ENTRY'!$A:$K,9)</f>
        <v>0</v>
      </c>
      <c r="J14" s="5"/>
    </row>
    <row r="15" spans="1:17" ht="21.95" customHeight="1" thickBot="1" x14ac:dyDescent="0.45">
      <c r="B15" s="101" t="s">
        <v>27</v>
      </c>
      <c r="C15" s="102" t="str">
        <f>VLOOKUP($D$9,'FEE ENTRY'!$A:$K,7)</f>
        <v/>
      </c>
      <c r="D15" s="134" t="s">
        <v>37</v>
      </c>
      <c r="E15" s="134"/>
      <c r="F15" s="103" t="str">
        <f>VLOOKUP($D$9,'FEE ENTRY'!$A:$K,11,)</f>
        <v/>
      </c>
      <c r="H15" s="32"/>
      <c r="I15" s="32"/>
      <c r="J15" s="33"/>
    </row>
    <row r="16" spans="1:17" ht="21.95" customHeight="1" thickTop="1" thickBot="1" x14ac:dyDescent="0.45">
      <c r="B16" s="135" t="s">
        <v>35</v>
      </c>
      <c r="C16" s="136"/>
      <c r="D16" s="136"/>
      <c r="E16" s="136"/>
      <c r="F16" s="104" t="str">
        <f>VLOOKUP($D$9,'FEE ENTRY'!$A:$K,10,)</f>
        <v/>
      </c>
      <c r="G16" s="6"/>
      <c r="H16" s="137" t="s">
        <v>45</v>
      </c>
      <c r="I16" s="137"/>
      <c r="J16" s="138"/>
    </row>
    <row r="20" spans="5:13" ht="21" x14ac:dyDescent="0.25">
      <c r="E20" s="22"/>
      <c r="F20" s="27"/>
      <c r="G20" s="27"/>
      <c r="H20" s="12"/>
      <c r="I20" s="12"/>
      <c r="J20" s="23"/>
      <c r="K20" s="24"/>
      <c r="L20" s="24"/>
      <c r="M20" s="24"/>
    </row>
    <row r="21" spans="5:13" ht="24" x14ac:dyDescent="0.35">
      <c r="E21" s="25"/>
      <c r="F21" s="25"/>
      <c r="G21" s="26"/>
      <c r="H21" s="26"/>
      <c r="I21" s="26"/>
      <c r="J21" s="26"/>
      <c r="K21" s="26"/>
      <c r="L21" s="26"/>
      <c r="M21" s="26"/>
    </row>
    <row r="22" spans="5:13" ht="21" x14ac:dyDescent="0.25">
      <c r="E22" s="23"/>
      <c r="F22" s="29"/>
      <c r="G22" s="29"/>
      <c r="H22" s="28"/>
      <c r="I22" s="28"/>
      <c r="J22" s="28"/>
    </row>
    <row r="23" spans="5:13" x14ac:dyDescent="0.25">
      <c r="G23" s="132"/>
      <c r="H23" s="132"/>
    </row>
  </sheetData>
  <mergeCells count="19">
    <mergeCell ref="M10:N10"/>
    <mergeCell ref="D9:E9"/>
    <mergeCell ref="B11:C11"/>
    <mergeCell ref="D10:G10"/>
    <mergeCell ref="I10:J10"/>
    <mergeCell ref="I9:J9"/>
    <mergeCell ref="B9:C9"/>
    <mergeCell ref="B10:C10"/>
    <mergeCell ref="B6:F6"/>
    <mergeCell ref="B5:F5"/>
    <mergeCell ref="B2:J4"/>
    <mergeCell ref="G5:J6"/>
    <mergeCell ref="B7:J7"/>
    <mergeCell ref="G23:H23"/>
    <mergeCell ref="D13:E13"/>
    <mergeCell ref="D14:E14"/>
    <mergeCell ref="D15:E15"/>
    <mergeCell ref="B16:E16"/>
    <mergeCell ref="H16:J16"/>
  </mergeCells>
  <printOptions horizontalCentered="1" verticalCentered="1"/>
  <pageMargins left="1.24" right="0" top="0.31496062992125984" bottom="0.35433070866141736" header="0" footer="0"/>
  <pageSetup paperSize="27" scale="71" orientation="landscape"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7B0E8-8D09-41A8-88AB-B362A0444BCA}">
  <dimension ref="A3:C5"/>
  <sheetViews>
    <sheetView workbookViewId="0">
      <selection activeCell="J9" sqref="J9"/>
    </sheetView>
  </sheetViews>
  <sheetFormatPr defaultRowHeight="15" x14ac:dyDescent="0.25"/>
  <cols>
    <col min="1" max="1" width="13.42578125" bestFit="1" customWidth="1"/>
    <col min="2" max="2" width="15" bestFit="1" customWidth="1"/>
    <col min="3" max="3" width="21.42578125" bestFit="1" customWidth="1"/>
    <col min="4" max="4" width="5" bestFit="1" customWidth="1"/>
    <col min="5" max="5" width="5.28515625" bestFit="1" customWidth="1"/>
    <col min="6" max="6" width="21.42578125" bestFit="1" customWidth="1"/>
    <col min="7" max="8" width="5" bestFit="1" customWidth="1"/>
    <col min="9" max="9" width="5.28515625" bestFit="1" customWidth="1"/>
    <col min="10" max="10" width="20" bestFit="1" customWidth="1"/>
    <col min="11" max="11" width="26.42578125" bestFit="1" customWidth="1"/>
  </cols>
  <sheetData>
    <row r="3" spans="1:3" x14ac:dyDescent="0.25">
      <c r="A3" s="36" t="s">
        <v>46</v>
      </c>
      <c r="B3" t="s">
        <v>160</v>
      </c>
      <c r="C3" t="s">
        <v>161</v>
      </c>
    </row>
    <row r="4" spans="1:3" x14ac:dyDescent="0.25">
      <c r="A4" s="37" t="s">
        <v>159</v>
      </c>
      <c r="C4" t="e">
        <v>#N/A</v>
      </c>
    </row>
    <row r="5" spans="1:3" x14ac:dyDescent="0.25">
      <c r="A5" s="37" t="s">
        <v>47</v>
      </c>
      <c r="C5" t="e">
        <v>#N/A</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4</vt:i4>
      </vt:variant>
      <vt:variant>
        <vt:lpstr>Named Ranges</vt:lpstr>
      </vt:variant>
      <vt:variant>
        <vt:i4>14</vt:i4>
      </vt:variant>
    </vt:vector>
  </HeadingPairs>
  <TitlesOfParts>
    <vt:vector size="18" baseType="lpstr">
      <vt:lpstr>ADMISSION</vt:lpstr>
      <vt:lpstr>FEE ENTRY</vt:lpstr>
      <vt:lpstr>INVOICE</vt:lpstr>
      <vt:lpstr>Sheet2</vt:lpstr>
      <vt:lpstr>_10th</vt:lpstr>
      <vt:lpstr>_11th</vt:lpstr>
      <vt:lpstr>_12th</vt:lpstr>
      <vt:lpstr>_1st</vt:lpstr>
      <vt:lpstr>_2nd</vt:lpstr>
      <vt:lpstr>_3rd</vt:lpstr>
      <vt:lpstr>_4th</vt:lpstr>
      <vt:lpstr>_5th</vt:lpstr>
      <vt:lpstr>_6th</vt:lpstr>
      <vt:lpstr>_7th</vt:lpstr>
      <vt:lpstr>_8th</vt:lpstr>
      <vt:lpstr>_9th</vt:lpstr>
      <vt:lpstr>kg</vt:lpstr>
      <vt:lpstr>INVOICE!Print_Area</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Ali Khan</dc:creator>
  <cp:keywords/>
  <dc:description/>
  <cp:lastModifiedBy>Ali Khan</cp:lastModifiedBy>
  <cp:lastPrinted>2024-03-26T13:04:12Z</cp:lastPrinted>
  <dcterms:created xsi:type="dcterms:W3CDTF">2024-01-10T09:09:30Z</dcterms:created>
  <dcterms:modified xsi:type="dcterms:W3CDTF">2024-04-06T15:16:31Z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2024-01-10T12:43:09Z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17a642bb-69eb-414d-8a31-178ad24d000c</vt:lpwstr>
  </property>
  <property fmtid="{D5CDD505-2E9C-101B-9397-08002B2CF9AE}" pid="7" name="MSIP_Label_defa4170-0d19-0005-0004-bc88714345d2_ActionId">
    <vt:lpwstr>232bf755-f00f-4cf4-bb83-af03202a0b42</vt:lpwstr>
  </property>
  <property fmtid="{D5CDD505-2E9C-101B-9397-08002B2CF9AE}" pid="8" name="MSIP_Label_defa4170-0d19-0005-0004-bc88714345d2_ContentBits">
    <vt:lpwstr>0</vt:lpwstr>
  </property>
</Properties>
</file>